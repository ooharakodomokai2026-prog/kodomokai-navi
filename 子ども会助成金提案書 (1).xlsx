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見直し" sheetId="1" r:id="rId4"/>
    <sheet state="visible" name="2023" sheetId="2" r:id="rId5"/>
    <sheet state="visible" name="2024" sheetId="3" r:id="rId6"/>
    <sheet state="visible" name="2025" sheetId="4" r:id="rId7"/>
    <sheet state="visible" name="コメント" sheetId="5" r:id="rId8"/>
    <sheet state="visible" name="提案書" sheetId="6" r:id="rId9"/>
  </sheets>
  <definedNames/>
  <calcPr/>
  <extLst>
    <ext uri="GoogleSheetsCustomDataVersion2">
      <go:sheetsCustomData xmlns:go="http://customooxmlschemas.google.com/" r:id="rId10" roundtripDataChecksum="liM/KgkkIPM6Fgq3MCg62q62VPDRyMYIYqYWJFEGosk="/>
    </ext>
  </extLst>
</workbook>
</file>

<file path=xl/sharedStrings.xml><?xml version="1.0" encoding="utf-8"?>
<sst xmlns="http://schemas.openxmlformats.org/spreadsheetml/2006/main" count="308" uniqueCount="193">
  <si>
    <t>2023年度　向洋大原町子ども会収支決算報告書</t>
  </si>
  <si>
    <t>2023年4月1日～2024年3月31日</t>
  </si>
  <si>
    <t>(単価：円)</t>
  </si>
  <si>
    <t>項目</t>
  </si>
  <si>
    <t>収支内訳</t>
  </si>
  <si>
    <t>支出内訳</t>
  </si>
  <si>
    <t>金額</t>
  </si>
  <si>
    <t>備考</t>
  </si>
  <si>
    <t>2022年度繰越金</t>
  </si>
  <si>
    <t>会費</t>
  </si>
  <si>
    <t>年会費　12,000円</t>
  </si>
  <si>
    <t>安全会費　2,850円</t>
  </si>
  <si>
    <t xml:space="preserve">　（1,000円×12名）　</t>
  </si>
  <si>
    <t xml:space="preserve">　（150円×19名）</t>
  </si>
  <si>
    <t>安全会費　150円</t>
  </si>
  <si>
    <t>育成会費　2,400円</t>
  </si>
  <si>
    <t xml:space="preserve">　（150円×幼児1名）　</t>
  </si>
  <si>
    <t xml:space="preserve">　（200円×12名）</t>
  </si>
  <si>
    <t>１年生お迎え会</t>
  </si>
  <si>
    <t>お菓子　　　2,009円</t>
  </si>
  <si>
    <t>名入り鉛筆４名分　3,400円</t>
  </si>
  <si>
    <t>助成金</t>
  </si>
  <si>
    <t>町内会より</t>
  </si>
  <si>
    <t>ラジオ体操</t>
  </si>
  <si>
    <t>盆踊り</t>
  </si>
  <si>
    <t>有志より寄付　　20,000円</t>
  </si>
  <si>
    <t>有志の方へのお礼　9,024円</t>
  </si>
  <si>
    <t>（お菓子代）</t>
  </si>
  <si>
    <t>秋祭り</t>
  </si>
  <si>
    <t>ハロウィン</t>
  </si>
  <si>
    <t>衣装　3,520円</t>
  </si>
  <si>
    <t>お菓子代　5,482円</t>
  </si>
  <si>
    <t>クリスマス</t>
  </si>
  <si>
    <t>ボーリング大会　8,300円</t>
  </si>
  <si>
    <t xml:space="preserve">　こども（ボーリング＆食事）</t>
  </si>
  <si>
    <t xml:space="preserve">　　2,000円×4名</t>
  </si>
  <si>
    <t xml:space="preserve">　大人（ボーリング）</t>
  </si>
  <si>
    <t xml:space="preserve">　　200円×1名</t>
  </si>
  <si>
    <t xml:space="preserve">　大人（食事）</t>
  </si>
  <si>
    <t xml:space="preserve">　　100円×1名</t>
  </si>
  <si>
    <t>プレゼント時計代6名分2,550円</t>
  </si>
  <si>
    <t>青崎学区コミュニティ</t>
  </si>
  <si>
    <t>町内会より１名　4,500円</t>
  </si>
  <si>
    <t>餅つき大会</t>
  </si>
  <si>
    <t>おもち代200円×３名</t>
  </si>
  <si>
    <t xml:space="preserve">6年生お別れ会　</t>
  </si>
  <si>
    <t>オコスタ食事代29,700円</t>
  </si>
  <si>
    <t xml:space="preserve">　(進級祝い)</t>
  </si>
  <si>
    <t xml:space="preserve">　（子供3,300円×9名）</t>
  </si>
  <si>
    <t>打合せ代　6,700円</t>
  </si>
  <si>
    <t>クオカード2名分6,000円</t>
  </si>
  <si>
    <t>お菓子代2名分967円</t>
  </si>
  <si>
    <t>お菓子代3名分1,481円</t>
  </si>
  <si>
    <t>雑費</t>
  </si>
  <si>
    <t>消耗品代（USB×1）</t>
  </si>
  <si>
    <t>両替手数料</t>
  </si>
  <si>
    <t>利息</t>
  </si>
  <si>
    <t>2023年度合計</t>
  </si>
  <si>
    <t>2024年度繰越金</t>
  </si>
  <si>
    <t>2023年度繰越金+収入-支出＝192,608</t>
  </si>
  <si>
    <t>町内会費より　37,984円</t>
  </si>
  <si>
    <t>ゲーム景品　23,327円</t>
  </si>
  <si>
    <t>夜店セット　14,657円</t>
  </si>
  <si>
    <t>2024年度　向洋大原町子ども会収支決算報告書</t>
  </si>
  <si>
    <t>2024年4月1日～2025年3月31日</t>
  </si>
  <si>
    <t>2023年度繰越金</t>
  </si>
  <si>
    <t>安全会費　4800円</t>
  </si>
  <si>
    <t xml:space="preserve">　（150円×32名）</t>
  </si>
  <si>
    <t>途中入会　2,000円</t>
  </si>
  <si>
    <t>育成会費　3,200円</t>
  </si>
  <si>
    <t xml:space="preserve">　（900×2名, 200円×2）　</t>
  </si>
  <si>
    <t xml:space="preserve">　（200円×16名）</t>
  </si>
  <si>
    <t xml:space="preserve">　（150円×7名）　</t>
  </si>
  <si>
    <t>※幼児4名､育成者3名</t>
  </si>
  <si>
    <t>１年生を迎える会</t>
  </si>
  <si>
    <t>折り畳み傘(会員１名）1,098円</t>
  </si>
  <si>
    <t>お土産お菓子代 3,442円</t>
  </si>
  <si>
    <t>最終日用アイス代 449円</t>
  </si>
  <si>
    <t>町内会より 16,000円</t>
  </si>
  <si>
    <t>商店費用　19,162円</t>
  </si>
  <si>
    <t>※仕入れ予算書分の一部</t>
  </si>
  <si>
    <t>売上還元　12,000円</t>
  </si>
  <si>
    <t>町内の方より寄付金 20,000円</t>
  </si>
  <si>
    <t>(@1,000円×会員12名)</t>
  </si>
  <si>
    <t>子ども商店 射的売上 6,550円</t>
  </si>
  <si>
    <t>クリーニング代　1,400円</t>
  </si>
  <si>
    <t xml:space="preserve">　々　ボールすくい売上 7,400円</t>
  </si>
  <si>
    <t>寄付のお礼代　2,100円</t>
  </si>
  <si>
    <t>打上 おやつ代(12名)　1,969円</t>
  </si>
  <si>
    <t>映画会</t>
  </si>
  <si>
    <t>鑑賞用おやつ代</t>
  </si>
  <si>
    <t>クリスマス会</t>
  </si>
  <si>
    <t>サンタ衣装・工作・飾り付け</t>
  </si>
  <si>
    <t>（ボードゲーム大会）</t>
  </si>
  <si>
    <t>ケーキ材料代　4,417円</t>
  </si>
  <si>
    <t>講師謝礼（小林さん）　500円</t>
  </si>
  <si>
    <t>きゃべつより紙皿・フォークなど</t>
  </si>
  <si>
    <t>きゃべつ食事代(会員15名)</t>
  </si>
  <si>
    <t>（現物寄付）</t>
  </si>
  <si>
    <t>※お子様ｾｯﾄ1,000円×15</t>
  </si>
  <si>
    <t>コストコケーキ代　2,978円</t>
  </si>
  <si>
    <t>6年生ﾌﾟﾚｾﾞﾝﾄ代(1名)　3,000円</t>
  </si>
  <si>
    <t>紙コップ・欠席者菓子代　505円</t>
  </si>
  <si>
    <t>手数料</t>
  </si>
  <si>
    <t>2024年度合計</t>
  </si>
  <si>
    <t>2025年度繰越金</t>
  </si>
  <si>
    <t>2024年度繰越金+収入-支出＝199,197</t>
  </si>
  <si>
    <t>2025年度　向洋大原町子ども会収支決算報告書</t>
  </si>
  <si>
    <t>2025年4月1日～2026年3月31日</t>
  </si>
  <si>
    <t>収入内訳</t>
  </si>
  <si>
    <t>年会費　21,000円</t>
  </si>
  <si>
    <t>安全会費　5,250円</t>
  </si>
  <si>
    <t xml:space="preserve">　（1,000円×21名）　</t>
  </si>
  <si>
    <t xml:space="preserve">　（150円×35名）</t>
  </si>
  <si>
    <t>安全会費　300円</t>
  </si>
  <si>
    <t>育成会費　4,200円</t>
  </si>
  <si>
    <t xml:space="preserve">　（150円×2名）　</t>
  </si>
  <si>
    <t xml:space="preserve">　（200円×21名）</t>
  </si>
  <si>
    <t>寄付金</t>
  </si>
  <si>
    <t>町内の方より</t>
  </si>
  <si>
    <t>4/19　10,000円</t>
  </si>
  <si>
    <t>8/30　7,000円</t>
  </si>
  <si>
    <t>10/18　10,000円</t>
  </si>
  <si>
    <t>名入り鉛筆セット(会員6名）5,940円</t>
  </si>
  <si>
    <t>お土産お菓子代 4,491円</t>
  </si>
  <si>
    <t>印刷代50円</t>
  </si>
  <si>
    <t>最終日用アイス代 414円</t>
  </si>
  <si>
    <t>クリスマス会(仮)</t>
  </si>
  <si>
    <t>食事代　71,250円</t>
  </si>
  <si>
    <t xml:space="preserve">　(小学生21名×1,250円)</t>
  </si>
  <si>
    <t xml:space="preserve">　(大人30名×1,500円)</t>
  </si>
  <si>
    <t>お土産用お菓子13,100円</t>
  </si>
  <si>
    <t>クオカード代　10,500円</t>
  </si>
  <si>
    <t>2024年度繰越金+収入-支出＝</t>
  </si>
  <si>
    <t>現在、町内の方からの寄付金のおかげで大きなマイナスを出すことなく最低限の活動ができている状況。</t>
  </si>
  <si>
    <t>町内の方の寄付金という不確定な収入に頼っていては、今後安定した活動を行っていくのは困難ではないか。</t>
  </si>
  <si>
    <t>また、予算が不明瞭だと1年間の計画が立てづらいため、引継ぎを行う年度終わりまでには確定した予算案(町内会の寄付金)を頂きたい。</t>
  </si>
  <si>
    <t>向洋大原町子ども会助成金提案書</t>
  </si>
  <si>
    <t>2025.10.26</t>
  </si>
  <si>
    <t xml:space="preserve">　地域の子どもたちが安全に・楽しく・地域とつながりながら活動できるよう、子供会では年間行事を</t>
  </si>
  <si>
    <r>
      <rPr>
        <rFont val="Calibri"/>
        <color theme="1"/>
      </rPr>
      <t xml:space="preserve">　通して活動を実施しております。しかし、</t>
    </r>
    <r>
      <rPr>
        <rFont val="ＭＳ Ｐゴシック"/>
        <b/>
        <color theme="1"/>
        <sz val="11.0"/>
      </rPr>
      <t>加入者数に依存する費用、物価高の影響</t>
    </r>
    <r>
      <rPr>
        <rFont val="ＭＳ Ｐゴシック"/>
        <color theme="1"/>
        <sz val="11.0"/>
      </rPr>
      <t>により行事の</t>
    </r>
  </si>
  <si>
    <t>会員数</t>
  </si>
  <si>
    <t>収入</t>
  </si>
  <si>
    <t>支出</t>
  </si>
  <si>
    <t>子ども一人当たりの費用</t>
  </si>
  <si>
    <r>
      <rPr>
        <rFont val="Calibri"/>
        <color theme="1"/>
      </rPr>
      <t xml:space="preserve">　</t>
    </r>
    <r>
      <rPr>
        <rFont val="ＭＳ Ｐゴシック"/>
        <b/>
        <color theme="1"/>
        <sz val="11.0"/>
      </rPr>
      <t>水準を年々下げながらの活動</t>
    </r>
    <r>
      <rPr>
        <rFont val="ＭＳ Ｐゴシック"/>
        <color theme="1"/>
        <sz val="11.0"/>
      </rPr>
      <t>となっており、町内会助成金・有志の方の寄付・会員の自己負担無</t>
    </r>
  </si>
  <si>
    <t>2023年</t>
  </si>
  <si>
    <t xml:space="preserve">　しでは活動が厳しい状況となっております。（2024年度も自己負担で賄ったため実質赤字）</t>
  </si>
  <si>
    <t>2024年</t>
  </si>
  <si>
    <t>2025年</t>
  </si>
  <si>
    <t>2023収入</t>
  </si>
  <si>
    <t>2023支出</t>
  </si>
  <si>
    <t>2024収入</t>
  </si>
  <si>
    <t>2024支出</t>
  </si>
  <si>
    <t>2025収入</t>
  </si>
  <si>
    <t>2025支出</t>
  </si>
  <si>
    <t>主な子供会行事での支出として</t>
  </si>
  <si>
    <t>①諸経費</t>
  </si>
  <si>
    <t>安全会・育成費用</t>
  </si>
  <si>
    <t>×会員数</t>
  </si>
  <si>
    <t>②1年生を迎える会</t>
  </si>
  <si>
    <t>1年生プレゼント代</t>
  </si>
  <si>
    <t>×1年生数</t>
  </si>
  <si>
    <t>他会員お菓子代</t>
  </si>
  <si>
    <t>③ラジオ体操</t>
  </si>
  <si>
    <t>アイスクリーム代</t>
  </si>
  <si>
    <t>×参加者</t>
  </si>
  <si>
    <t>④盆行事</t>
  </si>
  <si>
    <t>おやつ代</t>
  </si>
  <si>
    <t>予算見ながらこの中で調整して</t>
  </si>
  <si>
    <t>⑤夏フェス</t>
  </si>
  <si>
    <t>イベントの実施可否を決めている</t>
  </si>
  <si>
    <t>※盆行事、夏フェス、秋祭り等</t>
  </si>
  <si>
    <r>
      <rPr>
        <rFont val="MS PGothic"/>
        <color theme="1"/>
        <sz val="11.0"/>
      </rPr>
      <t>⑥秋イベント</t>
    </r>
    <r>
      <rPr>
        <rFont val="ＭＳ Ｐゴシック"/>
        <color theme="1"/>
        <sz val="9.0"/>
      </rPr>
      <t>（ハロウィン、映画鑑賞会など）</t>
    </r>
  </si>
  <si>
    <t xml:space="preserve">　町内会の会計は含まない</t>
  </si>
  <si>
    <t>⑦クリスマス会</t>
  </si>
  <si>
    <t>ケーキ代</t>
  </si>
  <si>
    <t>×1</t>
  </si>
  <si>
    <t>⑥6年生お別れ会</t>
  </si>
  <si>
    <t>6年生プレゼント代</t>
  </si>
  <si>
    <t>×6年生数</t>
  </si>
  <si>
    <t>食事代</t>
  </si>
  <si>
    <t xml:space="preserve">　　　※自己負担の場合が多い</t>
  </si>
  <si>
    <t>計</t>
  </si>
  <si>
    <t>過去実績踏まえて半分と仮定すると</t>
  </si>
  <si>
    <t xml:space="preserve">　　子ども一人当たりの必要な金額は\6,000程度となる。→\4,000/人の助成金で町内会と調整</t>
  </si>
  <si>
    <t xml:space="preserve">　　　（今期は\3,300/人の助成金）</t>
  </si>
  <si>
    <t xml:space="preserve">　　　（子供会会費で賄うとすると一人当たり約\2,000追加になるので実現的ではない）</t>
  </si>
  <si>
    <t>今年は子供会加入者も増加し、夏フェス効果の影響か、各行事への参加・準備のお手伝いなど</t>
  </si>
  <si>
    <t>子ども会会員の地域活動への参加意欲も高まっています。</t>
  </si>
  <si>
    <t>一方で有志の方より受ける寄付金に頼った運営となっており不確定な因子を抱えた状態での</t>
  </si>
  <si>
    <t>期首予算案、イベント案検討に苦労している状態です。</t>
  </si>
  <si>
    <t>子ども会としても年会費UPを検討していきますが、人数割の助成金をお願いできますと幸いです。</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</si>
</sst>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quot;月&quot;d&quot;日&quot;"/>
    <numFmt numFmtId="165" formatCode="#,##0_);[Red]\(#,##0\)"/>
    <numFmt numFmtId="166" formatCode="&quot;¥&quot;#,##0;&quot;¥&quot;\-#,##0"/>
  </numFmts>
  <fonts count="9">
    <font>
      <sz val="11.0"/>
      <color theme="1"/>
      <name val="Calibri"/>
      <scheme val="minor"/>
    </font>
    <font>
      <sz val="18.0"/>
      <color theme="1"/>
      <name val="MS PGothic"/>
    </font>
    <font>
      <sz val="11.0"/>
      <color theme="1"/>
      <name val="MS PGothic"/>
    </font>
    <font>
      <sz val="12.0"/>
      <color theme="1"/>
      <name val="MS PGothic"/>
    </font>
    <font>
      <sz val="10.0"/>
      <color theme="1"/>
      <name val="MS PGothic"/>
    </font>
    <font/>
    <font>
      <sz val="9.0"/>
      <color theme="1"/>
      <name val="MS PGothic"/>
    </font>
    <font>
      <color theme="1"/>
      <name val="Calibri"/>
      <scheme val="minor"/>
    </font>
    <font>
      <b/>
      <sz val="11.0"/>
      <color theme="1"/>
      <name val="MS PGothic"/>
    </font>
  </fonts>
  <fills count="3">
    <fill>
      <patternFill patternType="none"/>
    </fill>
    <fill>
      <patternFill patternType="lightGray"/>
    </fill>
    <fill>
      <patternFill patternType="solid">
        <fgColor rgb="FFFFFF00"/>
        <bgColor rgb="FFFFFF00"/>
      </patternFill>
    </fill>
  </fills>
  <borders count="32">
    <border/>
    <border>
      <left style="medium">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medium">
        <color rgb="FF000000"/>
      </right>
      <top style="double">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medium">
        <color rgb="FF000000"/>
      </bottom>
    </border>
    <border>
      <left style="thin">
        <color rgb="FF000000"/>
      </left>
      <bottom style="medium">
        <color rgb="FF000000"/>
      </bottom>
    </border>
    <border>
      <bottom style="medium">
        <color rgb="FF000000"/>
      </bottom>
    </border>
    <border>
      <right style="medium">
        <color rgb="FF000000"/>
      </right>
      <bottom style="medium">
        <color rgb="FF000000"/>
      </bottom>
    </border>
    <border>
      <left style="thin">
        <color rgb="FF000000"/>
      </left>
    </border>
    <border>
      <right style="thin">
        <color rgb="FF000000"/>
      </right>
    </border>
    <border>
      <top style="thin">
        <color rgb="FF000000"/>
      </top>
    </border>
    <border>
      <bottom style="thin">
        <color rgb="FF000000"/>
      </bottom>
    </border>
    <border>
      <left/>
      <right/>
      <top/>
      <bottom/>
    </border>
  </borders>
  <cellStyleXfs count="1">
    <xf borderId="0" fillId="0" fontId="0" numFmtId="0" applyAlignment="1" applyFont="1"/>
  </cellStyleXfs>
  <cellXfs count="58">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38" xfId="0" applyAlignment="1" applyFont="1" applyNumberFormat="1">
      <alignment horizontal="center" vertical="center"/>
    </xf>
    <xf borderId="0" fillId="0" fontId="3" numFmtId="0" xfId="0" applyAlignment="1" applyFont="1">
      <alignment horizontal="center" vertical="center"/>
    </xf>
    <xf borderId="0" fillId="0" fontId="2" numFmtId="0" xfId="0" applyAlignment="1" applyFont="1">
      <alignment horizontal="right" vertical="center"/>
    </xf>
    <xf borderId="0" fillId="0" fontId="3" numFmtId="0" xfId="0" applyAlignment="1" applyFont="1">
      <alignment horizontal="right" vertical="center"/>
    </xf>
    <xf borderId="1" fillId="0" fontId="4" numFmtId="0" xfId="0" applyAlignment="1" applyBorder="1" applyFont="1">
      <alignment horizontal="center" vertical="center"/>
    </xf>
    <xf borderId="2" fillId="0" fontId="4" numFmtId="0" xfId="0" applyAlignment="1" applyBorder="1" applyFont="1">
      <alignment horizontal="center" vertical="center"/>
    </xf>
    <xf borderId="3" fillId="0" fontId="5" numFmtId="0" xfId="0" applyAlignment="1" applyBorder="1" applyFont="1">
      <alignment vertical="center"/>
    </xf>
    <xf borderId="4" fillId="0" fontId="5" numFmtId="0" xfId="0" applyAlignment="1" applyBorder="1" applyFont="1">
      <alignment vertical="center"/>
    </xf>
    <xf borderId="5" fillId="0" fontId="5" numFmtId="0" xfId="0" applyAlignment="1" applyBorder="1" applyFont="1">
      <alignment vertical="center"/>
    </xf>
    <xf borderId="6" fillId="0" fontId="4" numFmtId="38" xfId="0" applyAlignment="1" applyBorder="1" applyFont="1" applyNumberFormat="1">
      <alignment horizontal="center" vertical="center"/>
    </xf>
    <xf borderId="6" fillId="0" fontId="4" numFmtId="0" xfId="0" applyAlignment="1" applyBorder="1" applyFont="1">
      <alignment horizontal="center" vertical="center"/>
    </xf>
    <xf borderId="7" fillId="0" fontId="4" numFmtId="0" xfId="0" applyAlignment="1" applyBorder="1" applyFont="1">
      <alignment horizontal="center" vertical="center"/>
    </xf>
    <xf borderId="8" fillId="0" fontId="4" numFmtId="0" xfId="0" applyAlignment="1" applyBorder="1" applyFont="1">
      <alignment vertical="center"/>
    </xf>
    <xf borderId="9" fillId="0" fontId="4" numFmtId="38" xfId="0" applyAlignment="1" applyBorder="1" applyFont="1" applyNumberFormat="1">
      <alignment vertical="center"/>
    </xf>
    <xf borderId="9" fillId="0" fontId="4" numFmtId="0" xfId="0" applyAlignment="1" applyBorder="1" applyFont="1">
      <alignment vertical="center"/>
    </xf>
    <xf borderId="10" fillId="0" fontId="4" numFmtId="0" xfId="0" applyAlignment="1" applyBorder="1" applyFont="1">
      <alignment vertical="center"/>
    </xf>
    <xf borderId="11" fillId="0" fontId="6" numFmtId="0" xfId="0" applyAlignment="1" applyBorder="1" applyFont="1">
      <alignment vertical="center"/>
    </xf>
    <xf borderId="6" fillId="0" fontId="6" numFmtId="38" xfId="0" applyAlignment="1" applyBorder="1" applyFont="1" applyNumberFormat="1">
      <alignment vertical="center"/>
    </xf>
    <xf borderId="6" fillId="0" fontId="6" numFmtId="0" xfId="0" applyAlignment="1" applyBorder="1" applyFont="1">
      <alignment vertical="center"/>
    </xf>
    <xf borderId="7" fillId="0" fontId="6" numFmtId="0" xfId="0" applyAlignment="1" applyBorder="1" applyFont="1">
      <alignment vertical="center"/>
    </xf>
    <xf borderId="12" fillId="0" fontId="6" numFmtId="0" xfId="0" applyAlignment="1" applyBorder="1" applyFont="1">
      <alignment vertical="center"/>
    </xf>
    <xf borderId="13" fillId="0" fontId="6" numFmtId="38" xfId="0" applyAlignment="1" applyBorder="1" applyFont="1" applyNumberFormat="1">
      <alignment vertical="center"/>
    </xf>
    <xf borderId="13" fillId="0" fontId="6" numFmtId="0" xfId="0" applyAlignment="1" applyBorder="1" applyFont="1">
      <alignment vertical="center"/>
    </xf>
    <xf borderId="14" fillId="0" fontId="6" numFmtId="0" xfId="0" applyAlignment="1" applyBorder="1" applyFont="1">
      <alignment vertical="center"/>
    </xf>
    <xf borderId="5" fillId="0" fontId="6" numFmtId="0" xfId="0" applyAlignment="1" applyBorder="1" applyFont="1">
      <alignment vertical="center"/>
    </xf>
    <xf borderId="15" fillId="0" fontId="6" numFmtId="38" xfId="0" applyAlignment="1" applyBorder="1" applyFont="1" applyNumberFormat="1">
      <alignment vertical="center"/>
    </xf>
    <xf borderId="15" fillId="0" fontId="6" numFmtId="0" xfId="0" applyAlignment="1" applyBorder="1" applyFont="1">
      <alignment vertical="center"/>
    </xf>
    <xf borderId="16" fillId="0" fontId="6" numFmtId="0" xfId="0" applyAlignment="1" applyBorder="1" applyFont="1">
      <alignment vertical="center"/>
    </xf>
    <xf borderId="17" fillId="0" fontId="6" numFmtId="0" xfId="0" applyAlignment="1" applyBorder="1" applyFont="1">
      <alignment vertical="center"/>
    </xf>
    <xf borderId="18" fillId="0" fontId="6" numFmtId="38" xfId="0" applyAlignment="1" applyBorder="1" applyFont="1" applyNumberFormat="1">
      <alignment vertical="center"/>
    </xf>
    <xf borderId="18" fillId="0" fontId="6" numFmtId="0" xfId="0" applyAlignment="1" applyBorder="1" applyFont="1">
      <alignment vertical="center"/>
    </xf>
    <xf borderId="19" fillId="0" fontId="6" numFmtId="0" xfId="0" applyAlignment="1" applyBorder="1" applyFont="1">
      <alignment vertical="center"/>
    </xf>
    <xf borderId="20" fillId="0" fontId="2" numFmtId="0" xfId="0" applyAlignment="1" applyBorder="1" applyFont="1">
      <alignment vertical="center"/>
    </xf>
    <xf borderId="21" fillId="0" fontId="2" numFmtId="38" xfId="0" applyAlignment="1" applyBorder="1" applyFont="1" applyNumberFormat="1">
      <alignment vertical="center"/>
    </xf>
    <xf borderId="21" fillId="0" fontId="2" numFmtId="0" xfId="0" applyAlignment="1" applyBorder="1" applyFont="1">
      <alignment vertical="center"/>
    </xf>
    <xf borderId="22" fillId="0" fontId="2" numFmtId="38" xfId="0" applyAlignment="1" applyBorder="1" applyFont="1" applyNumberFormat="1">
      <alignment vertical="center"/>
    </xf>
    <xf borderId="0" fillId="0" fontId="2" numFmtId="38" xfId="0" applyAlignment="1" applyFont="1" applyNumberFormat="1">
      <alignment vertical="center"/>
    </xf>
    <xf borderId="23" fillId="0" fontId="2" numFmtId="0" xfId="0" applyAlignment="1" applyBorder="1" applyFont="1">
      <alignment vertical="center"/>
    </xf>
    <xf borderId="24" fillId="0" fontId="2" numFmtId="38" xfId="0" applyAlignment="1" applyBorder="1" applyFont="1" applyNumberFormat="1">
      <alignment horizontal="center" vertical="center"/>
    </xf>
    <xf borderId="25" fillId="0" fontId="5" numFmtId="0" xfId="0" applyAlignment="1" applyBorder="1" applyFont="1">
      <alignment vertical="center"/>
    </xf>
    <xf borderId="26" fillId="0" fontId="5" numFmtId="0" xfId="0" applyAlignment="1" applyBorder="1" applyFont="1">
      <alignment vertical="center"/>
    </xf>
    <xf borderId="0" fillId="0" fontId="7" numFmtId="0" xfId="0" applyAlignment="1" applyFont="1">
      <alignment vertical="center"/>
    </xf>
    <xf borderId="27" fillId="0" fontId="6" numFmtId="38" xfId="0" applyAlignment="1" applyBorder="1" applyFont="1" applyNumberFormat="1">
      <alignment vertical="center"/>
    </xf>
    <xf borderId="28" fillId="0" fontId="6" numFmtId="38" xfId="0" applyAlignment="1" applyBorder="1" applyFont="1" applyNumberFormat="1">
      <alignment vertical="center"/>
    </xf>
    <xf borderId="22" fillId="0" fontId="2" numFmtId="0" xfId="0" applyAlignment="1" applyBorder="1" applyFont="1">
      <alignment vertical="center"/>
    </xf>
    <xf borderId="13" fillId="0" fontId="6" numFmtId="164" xfId="0" applyAlignment="1" applyBorder="1" applyFont="1" applyNumberFormat="1">
      <alignment vertical="center"/>
    </xf>
    <xf borderId="21" fillId="0" fontId="2" numFmtId="165" xfId="0" applyAlignment="1" applyBorder="1" applyFont="1" applyNumberFormat="1">
      <alignment vertical="center"/>
    </xf>
    <xf borderId="0" fillId="0" fontId="2" numFmtId="166" xfId="0" applyAlignment="1" applyFont="1" applyNumberFormat="1">
      <alignment vertical="center"/>
    </xf>
    <xf borderId="0" fillId="0" fontId="2" numFmtId="165" xfId="0" applyAlignment="1" applyFont="1" applyNumberFormat="1">
      <alignment vertical="center"/>
    </xf>
    <xf borderId="29" fillId="0" fontId="2" numFmtId="165" xfId="0" applyAlignment="1" applyBorder="1" applyFont="1" applyNumberFormat="1">
      <alignment horizontal="center" vertical="center"/>
    </xf>
    <xf borderId="0" fillId="0" fontId="2" numFmtId="0" xfId="0" applyAlignment="1" applyFont="1">
      <alignment vertical="center"/>
    </xf>
    <xf borderId="30" fillId="0" fontId="2" numFmtId="0" xfId="0" applyAlignment="1" applyBorder="1" applyFont="1">
      <alignment vertical="center"/>
    </xf>
    <xf borderId="30" fillId="0" fontId="2" numFmtId="166" xfId="0" applyAlignment="1" applyBorder="1" applyFont="1" applyNumberFormat="1">
      <alignment vertical="center"/>
    </xf>
    <xf borderId="31" fillId="2" fontId="2" numFmtId="166" xfId="0" applyAlignment="1" applyBorder="1" applyFill="1" applyFont="1" applyNumberFormat="1">
      <alignment vertical="center"/>
    </xf>
    <xf borderId="0" fillId="0" fontId="8"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会員数と一人当たりの費用推移について</a:t>
            </a:r>
          </a:p>
        </c:rich>
      </c:tx>
      <c:overlay val="0"/>
    </c:title>
    <c:plotArea>
      <c:layout>
        <c:manualLayout>
          <c:xMode val="edge"/>
          <c:yMode val="edge"/>
          <c:x val="0.11836351706036745"/>
          <c:y val="0.2091751796331581"/>
          <c:w val="0.8048251781378679"/>
          <c:h val="0.6943128027363926"/>
        </c:manualLayout>
      </c:layout>
      <c:barChart>
        <c:barDir val="col"/>
        <c:ser>
          <c:idx val="0"/>
          <c:order val="0"/>
          <c:tx>
            <c:v>子ども一人当たりの費用</c:v>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'提案書'!$J$5:$J$7</c:f>
            </c:strRef>
          </c:cat>
          <c:val>
            <c:numRef>
              <c:f>'提案書'!$N$5:$N$7</c:f>
              <c:numCache/>
            </c:numRef>
          </c:val>
        </c:ser>
        <c:axId val="2053886026"/>
        <c:axId val="1926571405"/>
      </c:barChart>
      <c:lineChart>
        <c:varyColors val="0"/>
        <c:ser>
          <c:idx val="1"/>
          <c:order val="1"/>
          <c:tx>
            <c:v>会員数</c:v>
          </c:tx>
          <c:spPr>
            <a:ln cmpd="sng">
              <a:solidFill>
                <a:srgbClr val="C0504D"/>
              </a:solidFill>
            </a:ln>
          </c:spPr>
          <c:marker>
            <c:symbol val="none"/>
          </c:marker>
          <c:dLbls>
            <c:numFmt formatCode="@" sourceLinked="0"/>
            <c:txPr>
              <a:bodyPr/>
              <a:lstStyle/>
              <a:p>
                <a:pPr lvl="0">
                  <a:defRPr/>
                </a:pPr>
              </a:p>
            </c:txPr>
            <c:showLegendKey val="0"/>
            <c:showVal val="1"/>
            <c:showCatName val="0"/>
            <c:showSerName val="0"/>
            <c:showPercent val="0"/>
            <c:showBubbleSize val="0"/>
          </c:dLbls>
          <c:cat>
            <c:strRef>
              <c:f>'提案書'!$J$5:$J$7</c:f>
            </c:strRef>
          </c:cat>
          <c:val>
            <c:numRef>
              <c:f>'提案書'!$K$5:$K$7</c:f>
              <c:numCache/>
            </c:numRef>
          </c:val>
          <c:smooth val="0"/>
        </c:ser>
        <c:axId val="2053886026"/>
        <c:axId val="1926571405"/>
      </c:lineChart>
      <c:catAx>
        <c:axId val="20538860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1926571405"/>
      </c:catAx>
      <c:valAx>
        <c:axId val="1926571405"/>
        <c:scaling>
          <c:orientation val="minMax"/>
          <c:max val="8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［円］</a:t>
                </a:r>
              </a:p>
            </c:rich>
          </c:tx>
          <c:layout>
            <c:manualLayout>
              <c:xMode val="edge"/>
              <c:yMode val="edge"/>
              <c:x val="0.027777694494530988"/>
              <c:y val="0.11660430201326875"/>
            </c:manualLayout>
          </c:layout>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2053886026"/>
      </c:valAx>
    </c:plotArea>
    <c:legend>
      <c:legendPos val="r"/>
      <c:layout>
        <c:manualLayout>
          <c:xMode val="edge"/>
          <c:yMode val="edge"/>
          <c:x val="0.24491890577006992"/>
          <c:y val="0.10298998339493277"/>
        </c:manualLayout>
      </c:layou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収支実績の推移</a:t>
            </a:r>
          </a:p>
        </c:rich>
      </c:tx>
      <c:overlay val="0"/>
    </c:title>
    <c:plotArea>
      <c:layout>
        <c:manualLayout>
          <c:xMode val="edge"/>
          <c:yMode val="edge"/>
          <c:x val="0.14691907261592305"/>
          <c:y val="0.20140055409740448"/>
          <c:w val="0.6753462379702537"/>
          <c:h val="0.6572973170020415"/>
        </c:manualLayout>
      </c:layout>
      <c:barChart>
        <c:barDir val="col"/>
        <c:grouping val="stacked"/>
        <c:ser>
          <c:idx val="0"/>
          <c:order val="0"/>
          <c:tx>
            <c:v>助成金</c:v>
          </c:tx>
          <c:spPr>
            <a:solidFill>
              <a:schemeClr val="accent1"/>
            </a:solidFill>
            <a:ln cmpd="sng">
              <a:noFill/>
            </a:ln>
          </c:spPr>
          <c:dPt>
            <c:idx val="0"/>
            <c:spPr>
              <a:solidFill>
                <a:schemeClr val="accent1"/>
              </a:solidFill>
              <a:ln cmpd="sng">
                <a:noFill/>
              </a:ln>
            </c:spPr>
          </c:dPt>
          <c:dPt>
            <c:idx val="1"/>
            <c:spPr>
              <a:solidFill>
                <a:schemeClr val="accent2"/>
              </a:solidFill>
              <a:ln cmpd="sng">
                <a:noFill/>
              </a:ln>
            </c:spPr>
          </c:dPt>
          <c:dPt>
            <c:idx val="2"/>
            <c:spPr>
              <a:solidFill>
                <a:schemeClr val="accent1"/>
              </a:solidFill>
              <a:ln cmpd="sng">
                <a:noFill/>
              </a:ln>
            </c:spPr>
          </c:dPt>
          <c:dPt>
            <c:idx val="3"/>
            <c:spPr>
              <a:solidFill>
                <a:schemeClr val="accent2"/>
              </a:solidFill>
              <a:ln cmpd="sng">
                <a:noFill/>
              </a:ln>
            </c:spPr>
          </c:dPt>
          <c:dPt>
            <c:idx val="4"/>
            <c:spPr>
              <a:solidFill>
                <a:schemeClr val="accent1"/>
              </a:solidFill>
              <a:ln cmpd="sng">
                <a:noFill/>
              </a:ln>
            </c:spPr>
          </c:dPt>
          <c:dPt>
            <c:idx val="5"/>
            <c:spPr>
              <a:solidFill>
                <a:schemeClr val="accent2"/>
              </a:solidFill>
              <a:ln cmpd="sng">
                <a:noFill/>
              </a:ln>
            </c:spPr>
          </c:dPt>
          <c:cat>
            <c:strRef>
              <c:f>'提案書'!$K$10:$P$10</c:f>
            </c:strRef>
          </c:cat>
          <c:val>
            <c:numRef>
              <c:f>'提案書'!$K$11:$P$11</c:f>
              <c:numCache/>
            </c:numRef>
          </c:val>
        </c:ser>
        <c:ser>
          <c:idx val="1"/>
          <c:order val="1"/>
          <c:tx>
            <c:v>寄付金</c:v>
          </c:tx>
          <c:spPr>
            <a:solidFill>
              <a:schemeClr val="accent2"/>
            </a:solidFill>
            <a:ln cmpd="sng">
              <a:noFill/>
            </a:ln>
          </c:spPr>
          <c:cat>
            <c:strRef>
              <c:f>'提案書'!$K$10:$P$10</c:f>
            </c:strRef>
          </c:cat>
          <c:val>
            <c:numRef>
              <c:f>'提案書'!$K$12:$P$12</c:f>
              <c:numCache/>
            </c:numRef>
          </c:val>
        </c:ser>
        <c:ser>
          <c:idx val="2"/>
          <c:order val="2"/>
          <c:tx>
            <c:v>会費</c:v>
          </c:tx>
          <c:spPr>
            <a:solidFill>
              <a:schemeClr val="accent5"/>
            </a:solidFill>
            <a:ln cmpd="sng">
              <a:noFill/>
            </a:ln>
          </c:spPr>
          <c:cat>
            <c:strRef>
              <c:f>'提案書'!$K$10:$P$10</c:f>
            </c:strRef>
          </c:cat>
          <c:val>
            <c:numRef>
              <c:f>'提案書'!$K$13:$P$13</c:f>
              <c:numCache/>
            </c:numRef>
          </c:val>
        </c:ser>
        <c:overlap val="100"/>
        <c:axId val="1697851249"/>
        <c:axId val="957042555"/>
      </c:barChart>
      <c:catAx>
        <c:axId val="16978512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957042555"/>
      </c:catAx>
      <c:valAx>
        <c:axId val="957042555"/>
        <c:scaling>
          <c:orientation val="minMax"/>
          <c:max val="13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［円］</a:t>
                </a:r>
              </a:p>
            </c:rich>
          </c:tx>
          <c:layout>
            <c:manualLayout>
              <c:xMode val="edge"/>
              <c:yMode val="edge"/>
              <c:x val="0.03888888888888889"/>
              <c:y val="0.14602786434173068"/>
            </c:manualLayout>
          </c:layout>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697851249"/>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xdr:colOff>
      <xdr:row>25</xdr:row>
      <xdr:rowOff>19050</xdr:rowOff>
    </xdr:from>
    <xdr:ext cx="123825" cy="1009650"/>
    <xdr:sp>
      <xdr:nvSpPr>
        <xdr:cNvPr id="3" name="Shape 3"/>
        <xdr:cNvSpPr/>
      </xdr:nvSpPr>
      <xdr:spPr>
        <a:xfrm>
          <a:off x="5288850" y="3275175"/>
          <a:ext cx="114300" cy="1009650"/>
        </a:xfrm>
        <a:prstGeom prst="lef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xdr:colOff>
      <xdr:row>25</xdr:row>
      <xdr:rowOff>19050</xdr:rowOff>
    </xdr:from>
    <xdr:ext cx="123825" cy="1009650"/>
    <xdr:sp>
      <xdr:nvSpPr>
        <xdr:cNvPr id="3" name="Shape 3"/>
        <xdr:cNvSpPr/>
      </xdr:nvSpPr>
      <xdr:spPr>
        <a:xfrm>
          <a:off x="5288850" y="3275175"/>
          <a:ext cx="114300" cy="1009650"/>
        </a:xfrm>
        <a:prstGeom prst="lef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619125</xdr:colOff>
      <xdr:row>9</xdr:row>
      <xdr:rowOff>95250</xdr:rowOff>
    </xdr:from>
    <xdr:ext cx="4171950" cy="3267075"/>
    <xdr:graphicFrame>
      <xdr:nvGraphicFramePr>
        <xdr:cNvPr id="6312884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180975</xdr:colOff>
      <xdr:row>18</xdr:row>
      <xdr:rowOff>123825</xdr:rowOff>
    </xdr:from>
    <xdr:ext cx="3943350" cy="3152775"/>
    <xdr:graphicFrame>
      <xdr:nvGraphicFramePr>
        <xdr:cNvPr id="602109337"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180975</xdr:colOff>
      <xdr:row>18</xdr:row>
      <xdr:rowOff>123825</xdr:rowOff>
    </xdr:from>
    <xdr:ext cx="3943350" cy="3152775"/>
    <xdr:grpSp>
      <xdr:nvGrpSpPr>
        <xdr:cNvPr id="2" name="Shape 2"/>
        <xdr:cNvGrpSpPr/>
      </xdr:nvGrpSpPr>
      <xdr:grpSpPr>
        <a:xfrm>
          <a:off x="3374325" y="2203613"/>
          <a:ext cx="3943350" cy="3152775"/>
          <a:chOff x="3374325" y="2203613"/>
          <a:chExt cx="3943350" cy="3152775"/>
        </a:xfrm>
      </xdr:grpSpPr>
      <xdr:grpSp>
        <xdr:nvGrpSpPr>
          <xdr:cNvPr id="4" name="Shape 4"/>
          <xdr:cNvGrpSpPr/>
        </xdr:nvGrpSpPr>
        <xdr:grpSpPr>
          <a:xfrm>
            <a:off x="3374325" y="2203613"/>
            <a:ext cx="3943350" cy="3152775"/>
            <a:chOff x="6705600" y="2257424"/>
            <a:chExt cx="4572000" cy="3152775"/>
          </a:xfrm>
        </xdr:grpSpPr>
        <xdr:sp>
          <xdr:nvSpPr>
            <xdr:cNvPr id="5" name="Shape 5"/>
            <xdr:cNvSpPr/>
          </xdr:nvSpPr>
          <xdr:spPr>
            <a:xfrm>
              <a:off x="6705600" y="2257424"/>
              <a:ext cx="4572000" cy="3152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6" name="Shape 6"/>
            <xdr:cNvCxnSpPr/>
          </xdr:nvCxnSpPr>
          <xdr:spPr>
            <a:xfrm rot="10800000">
              <a:off x="8401050" y="2924175"/>
              <a:ext cx="0" cy="2114551"/>
            </a:xfrm>
            <a:prstGeom prst="straightConnector1">
              <a:avLst/>
            </a:prstGeom>
            <a:noFill/>
            <a:ln cap="flat" cmpd="sng" w="9525">
              <a:solidFill>
                <a:srgbClr val="4A7DBA"/>
              </a:solidFill>
              <a:prstDash val="solid"/>
              <a:round/>
              <a:headEnd len="sm" w="sm" type="none"/>
              <a:tailEnd len="sm" w="sm" type="none"/>
            </a:ln>
          </xdr:spPr>
        </xdr:cxnSp>
        <xdr:cxnSp>
          <xdr:nvCxnSpPr>
            <xdr:cNvPr id="7" name="Shape 7"/>
            <xdr:cNvCxnSpPr/>
          </xdr:nvCxnSpPr>
          <xdr:spPr>
            <a:xfrm rot="10800000">
              <a:off x="9429750" y="2905125"/>
              <a:ext cx="0" cy="2143126"/>
            </a:xfrm>
            <a:prstGeom prst="straightConnector1">
              <a:avLst/>
            </a:prstGeom>
            <a:noFill/>
            <a:ln cap="flat" cmpd="sng" w="9525">
              <a:solidFill>
                <a:srgbClr val="4A7DBA"/>
              </a:solidFill>
              <a:prstDash val="solid"/>
              <a:round/>
              <a:headEnd len="sm" w="sm" type="none"/>
              <a:tailEnd len="sm" w="sm" type="none"/>
            </a:ln>
          </xdr:spPr>
        </xdr:cxnSp>
        <xdr:sp>
          <xdr:nvSpPr>
            <xdr:cNvPr id="8" name="Shape 8"/>
            <xdr:cNvSpPr txBox="1"/>
          </xdr:nvSpPr>
          <xdr:spPr>
            <a:xfrm>
              <a:off x="7267575" y="3533775"/>
              <a:ext cx="809625"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\66,650</a:t>
              </a:r>
              <a:endParaRPr sz="1100"/>
            </a:p>
          </xdr:txBody>
        </xdr:sp>
        <xdr:sp>
          <xdr:nvSpPr>
            <xdr:cNvPr id="9" name="Shape 9"/>
            <xdr:cNvSpPr txBox="1"/>
          </xdr:nvSpPr>
          <xdr:spPr>
            <a:xfrm>
              <a:off x="7753350" y="3219450"/>
              <a:ext cx="809625"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\86,273</a:t>
              </a:r>
              <a:endParaRPr sz="1100"/>
            </a:p>
          </xdr:txBody>
        </xdr:sp>
        <xdr:sp>
          <xdr:nvSpPr>
            <xdr:cNvPr id="10" name="Shape 10"/>
            <xdr:cNvSpPr txBox="1"/>
          </xdr:nvSpPr>
          <xdr:spPr>
            <a:xfrm>
              <a:off x="8324850" y="3305175"/>
              <a:ext cx="809625"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\84,100</a:t>
              </a:r>
              <a:endParaRPr sz="1100"/>
            </a:p>
          </xdr:txBody>
        </xdr:sp>
        <xdr:sp>
          <xdr:nvSpPr>
            <xdr:cNvPr id="11" name="Shape 11"/>
            <xdr:cNvSpPr txBox="1"/>
          </xdr:nvSpPr>
          <xdr:spPr>
            <a:xfrm>
              <a:off x="8839200" y="3409950"/>
              <a:ext cx="809625"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\77,511</a:t>
              </a:r>
              <a:endParaRPr sz="1100"/>
            </a:p>
          </xdr:txBody>
        </xdr:sp>
        <xdr:sp>
          <xdr:nvSpPr>
            <xdr:cNvPr id="12" name="Shape 12"/>
            <xdr:cNvSpPr txBox="1"/>
          </xdr:nvSpPr>
          <xdr:spPr>
            <a:xfrm>
              <a:off x="9372600" y="3552825"/>
              <a:ext cx="809625"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\68,300</a:t>
              </a:r>
              <a:endParaRPr sz="1100"/>
            </a:p>
          </xdr:txBody>
        </xdr:sp>
        <xdr:sp>
          <xdr:nvSpPr>
            <xdr:cNvPr id="13" name="Shape 13"/>
            <xdr:cNvSpPr txBox="1"/>
          </xdr:nvSpPr>
          <xdr:spPr>
            <a:xfrm>
              <a:off x="9839325" y="2828925"/>
              <a:ext cx="809625"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\115,195</a:t>
              </a:r>
              <a:endParaRPr sz="1100"/>
            </a:p>
          </xdr:txBody>
        </xdr:sp>
      </xdr:grpSp>
    </xdr:grpSp>
    <xdr:clientData fLocksWithSheet="0"/>
  </xdr:oneCellAnchor>
  <xdr:oneCellAnchor>
    <xdr:from>
      <xdr:col>5</xdr:col>
      <xdr:colOff>114300</xdr:colOff>
      <xdr:row>7</xdr:row>
      <xdr:rowOff>76200</xdr:rowOff>
    </xdr:from>
    <xdr:ext cx="2286000" cy="247650"/>
    <xdr:sp>
      <xdr:nvSpPr>
        <xdr:cNvPr id="14" name="Shape 14"/>
        <xdr:cNvSpPr txBox="1"/>
      </xdr:nvSpPr>
      <xdr:spPr>
        <a:xfrm>
          <a:off x="4203000" y="3656175"/>
          <a:ext cx="2286000"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FF0000"/>
              </a:solidFill>
              <a:latin typeface="Calibri"/>
              <a:ea typeface="Calibri"/>
              <a:cs typeface="Calibri"/>
              <a:sym typeface="Calibri"/>
            </a:rPr>
            <a:t>マイナス収支分は会員の自己負担</a:t>
          </a:r>
          <a:endParaRPr sz="1400"/>
        </a:p>
      </xdr:txBody>
    </xdr:sp>
    <xdr:clientData fLocksWithSheet="0"/>
  </xdr:oneCellAnchor>
  <xdr:oneCellAnchor>
    <xdr:from>
      <xdr:col>5</xdr:col>
      <xdr:colOff>95250</xdr:colOff>
      <xdr:row>20</xdr:row>
      <xdr:rowOff>28575</xdr:rowOff>
    </xdr:from>
    <xdr:ext cx="238125" cy="4572000"/>
    <xdr:sp>
      <xdr:nvSpPr>
        <xdr:cNvPr id="15" name="Shape 15"/>
        <xdr:cNvSpPr/>
      </xdr:nvSpPr>
      <xdr:spPr>
        <a:xfrm>
          <a:off x="5226938" y="1494000"/>
          <a:ext cx="238125" cy="4572000"/>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57150</xdr:colOff>
      <xdr:row>6</xdr:row>
      <xdr:rowOff>66675</xdr:rowOff>
    </xdr:from>
    <xdr:ext cx="2752725" cy="19716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504825</xdr:colOff>
      <xdr:row>6</xdr:row>
      <xdr:rowOff>66675</xdr:rowOff>
    </xdr:from>
    <xdr:ext cx="2466975" cy="19716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7.86"/>
    <col customWidth="1" min="3" max="3" width="18.14"/>
    <col customWidth="1" min="4" max="4" width="7.86"/>
    <col customWidth="1" min="5" max="5" width="22.0"/>
    <col customWidth="1" min="6" max="26" width="8.71"/>
  </cols>
  <sheetData>
    <row r="1" ht="13.5" customHeight="1">
      <c r="A1" s="1" t="s">
        <v>0</v>
      </c>
    </row>
    <row r="2" ht="13.5" customHeight="1">
      <c r="A2" s="2"/>
      <c r="B2" s="3"/>
      <c r="C2" s="4"/>
      <c r="D2" s="2" t="s">
        <v>1</v>
      </c>
    </row>
    <row r="3" ht="13.5" customHeight="1">
      <c r="A3" s="2"/>
      <c r="B3" s="3"/>
      <c r="C3" s="4"/>
      <c r="D3" s="5" t="s">
        <v>2</v>
      </c>
    </row>
    <row r="4" ht="13.5" customHeight="1">
      <c r="A4" s="2"/>
      <c r="B4" s="3"/>
      <c r="C4" s="4"/>
      <c r="D4" s="6"/>
      <c r="E4" s="6"/>
    </row>
    <row r="5" ht="13.5" customHeight="1">
      <c r="A5" s="7" t="s">
        <v>3</v>
      </c>
      <c r="B5" s="8" t="s">
        <v>4</v>
      </c>
      <c r="C5" s="9"/>
      <c r="D5" s="8" t="s">
        <v>5</v>
      </c>
      <c r="E5" s="10"/>
    </row>
    <row r="6" ht="13.5" customHeight="1">
      <c r="A6" s="11"/>
      <c r="B6" s="12" t="s">
        <v>6</v>
      </c>
      <c r="C6" s="13" t="s">
        <v>7</v>
      </c>
      <c r="D6" s="13" t="s">
        <v>6</v>
      </c>
      <c r="E6" s="14" t="s">
        <v>7</v>
      </c>
    </row>
    <row r="7" ht="13.5" customHeight="1">
      <c r="A7" s="15" t="s">
        <v>8</v>
      </c>
      <c r="B7" s="16">
        <v>212233.0</v>
      </c>
      <c r="C7" s="17"/>
      <c r="D7" s="17">
        <v>0.0</v>
      </c>
      <c r="E7" s="18"/>
    </row>
    <row r="8" ht="13.5" customHeight="1">
      <c r="A8" s="19" t="s">
        <v>9</v>
      </c>
      <c r="B8" s="20">
        <v>12150.0</v>
      </c>
      <c r="C8" s="21" t="s">
        <v>10</v>
      </c>
      <c r="D8" s="20">
        <v>5250.0</v>
      </c>
      <c r="E8" s="22" t="s">
        <v>11</v>
      </c>
    </row>
    <row r="9" ht="13.5" customHeight="1">
      <c r="A9" s="23"/>
      <c r="B9" s="24"/>
      <c r="C9" s="25" t="s">
        <v>12</v>
      </c>
      <c r="D9" s="25"/>
      <c r="E9" s="26" t="s">
        <v>13</v>
      </c>
    </row>
    <row r="10" ht="13.5" customHeight="1">
      <c r="A10" s="23"/>
      <c r="B10" s="24"/>
      <c r="C10" s="25" t="s">
        <v>14</v>
      </c>
      <c r="D10" s="25"/>
      <c r="E10" s="26" t="s">
        <v>15</v>
      </c>
    </row>
    <row r="11" ht="13.5" customHeight="1">
      <c r="A11" s="23"/>
      <c r="B11" s="24"/>
      <c r="C11" s="25" t="s">
        <v>16</v>
      </c>
      <c r="D11" s="25"/>
      <c r="E11" s="26" t="s">
        <v>17</v>
      </c>
    </row>
    <row r="12" ht="13.5" customHeight="1">
      <c r="A12" s="27"/>
      <c r="B12" s="28"/>
      <c r="C12" s="29"/>
      <c r="D12" s="29"/>
      <c r="E12" s="30"/>
    </row>
    <row r="13" ht="13.5" customHeight="1">
      <c r="A13" s="23" t="s">
        <v>18</v>
      </c>
      <c r="B13" s="24"/>
      <c r="C13" s="25"/>
      <c r="D13" s="24">
        <v>5409.0</v>
      </c>
      <c r="E13" s="26" t="s">
        <v>19</v>
      </c>
    </row>
    <row r="14" ht="13.5" customHeight="1">
      <c r="A14" s="23"/>
      <c r="B14" s="24"/>
      <c r="C14" s="25"/>
      <c r="D14" s="24"/>
      <c r="E14" s="26" t="s">
        <v>20</v>
      </c>
    </row>
    <row r="15" ht="13.5" customHeight="1">
      <c r="A15" s="23"/>
      <c r="B15" s="24"/>
      <c r="C15" s="25"/>
      <c r="D15" s="24"/>
      <c r="E15" s="26"/>
    </row>
    <row r="16" ht="13.5" customHeight="1">
      <c r="A16" s="31" t="s">
        <v>21</v>
      </c>
      <c r="B16" s="32">
        <v>30000.0</v>
      </c>
      <c r="C16" s="33" t="s">
        <v>22</v>
      </c>
      <c r="D16" s="32"/>
      <c r="E16" s="34"/>
    </row>
    <row r="17" ht="13.5" customHeight="1">
      <c r="A17" s="31" t="s">
        <v>23</v>
      </c>
      <c r="B17" s="32"/>
      <c r="C17" s="33"/>
      <c r="D17" s="32">
        <v>0.0</v>
      </c>
      <c r="E17" s="34"/>
    </row>
    <row r="18" ht="13.5" customHeight="1">
      <c r="A18" s="19" t="s">
        <v>24</v>
      </c>
      <c r="B18" s="20">
        <v>20000.0</v>
      </c>
      <c r="C18" s="25" t="s">
        <v>25</v>
      </c>
      <c r="D18" s="20">
        <v>9024.0</v>
      </c>
      <c r="E18" s="22" t="s">
        <v>26</v>
      </c>
    </row>
    <row r="19" ht="13.5" customHeight="1">
      <c r="A19" s="23"/>
      <c r="B19" s="24"/>
      <c r="D19" s="25"/>
      <c r="E19" s="26" t="s">
        <v>27</v>
      </c>
    </row>
    <row r="20" ht="13.5" customHeight="1">
      <c r="A20" s="23"/>
      <c r="B20" s="24"/>
      <c r="C20" s="25"/>
      <c r="D20" s="24"/>
      <c r="E20" s="26"/>
    </row>
    <row r="21" ht="13.5" customHeight="1">
      <c r="A21" s="27"/>
      <c r="B21" s="28"/>
      <c r="C21" s="29"/>
      <c r="D21" s="29"/>
      <c r="E21" s="30"/>
    </row>
    <row r="22" ht="13.5" customHeight="1">
      <c r="A22" s="31" t="s">
        <v>28</v>
      </c>
      <c r="B22" s="32"/>
      <c r="C22" s="33"/>
      <c r="D22" s="33">
        <v>0.0</v>
      </c>
      <c r="E22" s="34"/>
    </row>
    <row r="23" ht="13.5" customHeight="1">
      <c r="A23" s="23" t="s">
        <v>29</v>
      </c>
      <c r="B23" s="24"/>
      <c r="C23" s="25"/>
      <c r="D23" s="24">
        <v>9002.0</v>
      </c>
      <c r="E23" s="26" t="s">
        <v>30</v>
      </c>
    </row>
    <row r="24" ht="13.5" customHeight="1">
      <c r="A24" s="23"/>
      <c r="B24" s="24"/>
      <c r="C24" s="25"/>
      <c r="D24" s="25"/>
      <c r="E24" s="26" t="s">
        <v>31</v>
      </c>
    </row>
    <row r="25" ht="13.5" customHeight="1">
      <c r="A25" s="19" t="s">
        <v>32</v>
      </c>
      <c r="B25" s="20"/>
      <c r="C25" s="21"/>
      <c r="D25" s="20">
        <v>10850.0</v>
      </c>
      <c r="E25" s="22" t="s">
        <v>33</v>
      </c>
    </row>
    <row r="26" ht="13.5" customHeight="1">
      <c r="A26" s="23"/>
      <c r="B26" s="24"/>
      <c r="C26" s="25"/>
      <c r="D26" s="24"/>
      <c r="E26" s="26" t="s">
        <v>34</v>
      </c>
    </row>
    <row r="27" ht="13.5" customHeight="1">
      <c r="A27" s="23"/>
      <c r="B27" s="24"/>
      <c r="C27" s="25"/>
      <c r="D27" s="24"/>
      <c r="E27" s="26" t="s">
        <v>35</v>
      </c>
    </row>
    <row r="28" ht="13.5" customHeight="1">
      <c r="A28" s="23"/>
      <c r="B28" s="24"/>
      <c r="C28" s="25"/>
      <c r="D28" s="24"/>
      <c r="E28" s="26" t="s">
        <v>36</v>
      </c>
    </row>
    <row r="29" ht="13.5" customHeight="1">
      <c r="A29" s="23"/>
      <c r="B29" s="24"/>
      <c r="C29" s="25"/>
      <c r="D29" s="24"/>
      <c r="E29" s="26" t="s">
        <v>37</v>
      </c>
    </row>
    <row r="30" ht="13.5" customHeight="1">
      <c r="A30" s="23"/>
      <c r="B30" s="24"/>
      <c r="C30" s="25"/>
      <c r="D30" s="24"/>
      <c r="E30" s="26" t="s">
        <v>38</v>
      </c>
    </row>
    <row r="31" ht="13.5" customHeight="1">
      <c r="A31" s="23"/>
      <c r="B31" s="24"/>
      <c r="C31" s="25"/>
      <c r="D31" s="24"/>
      <c r="E31" s="26" t="s">
        <v>39</v>
      </c>
    </row>
    <row r="32" ht="13.5" customHeight="1">
      <c r="A32" s="23"/>
      <c r="B32" s="24"/>
      <c r="C32" s="25"/>
      <c r="D32" s="24"/>
      <c r="E32" s="26"/>
    </row>
    <row r="33" ht="13.5" customHeight="1">
      <c r="A33" s="23"/>
      <c r="B33" s="24"/>
      <c r="C33" s="25"/>
      <c r="D33" s="24"/>
      <c r="E33" s="26" t="s">
        <v>40</v>
      </c>
    </row>
    <row r="34" ht="13.5" customHeight="1">
      <c r="A34" s="27"/>
      <c r="B34" s="28"/>
      <c r="C34" s="29"/>
      <c r="D34" s="28"/>
      <c r="E34" s="30"/>
    </row>
    <row r="35" ht="13.5" customHeight="1">
      <c r="A35" s="23" t="s">
        <v>41</v>
      </c>
      <c r="B35" s="24">
        <v>4500.0</v>
      </c>
      <c r="C35" s="25" t="s">
        <v>42</v>
      </c>
      <c r="D35" s="24"/>
      <c r="E35" s="26"/>
    </row>
    <row r="36" ht="13.5" customHeight="1">
      <c r="A36" s="27"/>
      <c r="B36" s="28"/>
      <c r="C36" s="29"/>
      <c r="D36" s="29"/>
      <c r="E36" s="30"/>
    </row>
    <row r="37" ht="13.5" customHeight="1">
      <c r="A37" s="23" t="s">
        <v>43</v>
      </c>
      <c r="B37" s="24"/>
      <c r="C37" s="25"/>
      <c r="D37" s="24">
        <v>600.0</v>
      </c>
      <c r="E37" s="26" t="s">
        <v>44</v>
      </c>
    </row>
    <row r="38" ht="13.5" customHeight="1">
      <c r="A38" s="27"/>
      <c r="B38" s="28"/>
      <c r="C38" s="29"/>
      <c r="D38" s="29"/>
      <c r="E38" s="30"/>
    </row>
    <row r="39" ht="13.5" customHeight="1">
      <c r="A39" s="23" t="s">
        <v>45</v>
      </c>
      <c r="B39" s="24">
        <v>0.0</v>
      </c>
      <c r="C39" s="25"/>
      <c r="D39" s="24">
        <v>44848.0</v>
      </c>
      <c r="E39" s="26" t="s">
        <v>46</v>
      </c>
    </row>
    <row r="40" ht="13.5" customHeight="1">
      <c r="A40" s="23" t="s">
        <v>47</v>
      </c>
      <c r="B40" s="24"/>
      <c r="C40" s="25"/>
      <c r="D40" s="24"/>
      <c r="E40" s="26" t="s">
        <v>48</v>
      </c>
    </row>
    <row r="41" ht="13.5" customHeight="1">
      <c r="A41" s="23"/>
      <c r="B41" s="24"/>
      <c r="C41" s="25"/>
      <c r="D41" s="24"/>
      <c r="E41" s="26" t="s">
        <v>49</v>
      </c>
    </row>
    <row r="42" ht="13.5" customHeight="1">
      <c r="A42" s="23"/>
      <c r="B42" s="24"/>
      <c r="C42" s="25"/>
      <c r="D42" s="24"/>
      <c r="E42" s="26" t="s">
        <v>50</v>
      </c>
    </row>
    <row r="43" ht="13.5" customHeight="1">
      <c r="A43" s="23"/>
      <c r="B43" s="24"/>
      <c r="C43" s="25"/>
      <c r="D43" s="24"/>
      <c r="E43" s="26" t="s">
        <v>51</v>
      </c>
    </row>
    <row r="44" ht="13.5" customHeight="1">
      <c r="A44" s="27"/>
      <c r="B44" s="28"/>
      <c r="C44" s="29"/>
      <c r="D44" s="28"/>
      <c r="E44" s="30" t="s">
        <v>52</v>
      </c>
    </row>
    <row r="45" ht="13.5" customHeight="1">
      <c r="A45" s="31" t="s">
        <v>53</v>
      </c>
      <c r="B45" s="32"/>
      <c r="C45" s="33"/>
      <c r="D45" s="32">
        <v>1180.0</v>
      </c>
      <c r="E45" s="34" t="s">
        <v>54</v>
      </c>
    </row>
    <row r="46" ht="13.5" customHeight="1">
      <c r="A46" s="31" t="s">
        <v>55</v>
      </c>
      <c r="B46" s="32"/>
      <c r="C46" s="33"/>
      <c r="D46" s="32">
        <v>110.0</v>
      </c>
      <c r="E46" s="34"/>
    </row>
    <row r="47" ht="13.5" customHeight="1">
      <c r="A47" s="31" t="s">
        <v>56</v>
      </c>
      <c r="B47" s="32">
        <v>0.0</v>
      </c>
      <c r="C47" s="33"/>
      <c r="D47" s="32"/>
      <c r="E47" s="34"/>
    </row>
    <row r="48" ht="13.5" customHeight="1">
      <c r="A48" s="35" t="s">
        <v>57</v>
      </c>
      <c r="B48" s="36">
        <f>SUM(B8:B47)</f>
        <v>66650</v>
      </c>
      <c r="C48" s="37"/>
      <c r="D48" s="36">
        <f>SUM(D8:D47)</f>
        <v>86273</v>
      </c>
      <c r="E48" s="38"/>
      <c r="F48" s="39">
        <f>B48-D48</f>
        <v>-19623</v>
      </c>
    </row>
    <row r="49" ht="13.5" hidden="1" customHeight="1">
      <c r="A49" s="40" t="s">
        <v>58</v>
      </c>
      <c r="B49" s="41" t="s">
        <v>59</v>
      </c>
      <c r="C49" s="42"/>
      <c r="D49" s="42"/>
      <c r="E49" s="43"/>
      <c r="H49" s="39">
        <f>B7+B48-D48</f>
        <v>192610</v>
      </c>
    </row>
    <row r="50" ht="13.5" customHeight="1">
      <c r="D50" s="44">
        <v>12.0</v>
      </c>
    </row>
    <row r="51" ht="13.5" customHeight="1">
      <c r="D51" s="44">
        <f>D48/D50</f>
        <v>7189.416667</v>
      </c>
    </row>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E1"/>
    <mergeCell ref="D2:E2"/>
    <mergeCell ref="D3:E3"/>
    <mergeCell ref="A5:A6"/>
    <mergeCell ref="B5:C5"/>
    <mergeCell ref="D5:E5"/>
    <mergeCell ref="B49:E4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7.86"/>
    <col customWidth="1" min="3" max="3" width="18.14"/>
    <col customWidth="1" min="4" max="4" width="7.86"/>
    <col customWidth="1" min="5" max="5" width="22.0"/>
    <col customWidth="1" min="6" max="26" width="8.71"/>
  </cols>
  <sheetData>
    <row r="1" ht="13.5" customHeight="1">
      <c r="A1" s="1" t="s">
        <v>0</v>
      </c>
    </row>
    <row r="2" ht="13.5" customHeight="1">
      <c r="A2" s="2"/>
      <c r="B2" s="3"/>
      <c r="C2" s="4"/>
      <c r="D2" s="2" t="s">
        <v>1</v>
      </c>
    </row>
    <row r="3" ht="13.5" customHeight="1">
      <c r="A3" s="2"/>
      <c r="B3" s="3"/>
      <c r="C3" s="4"/>
      <c r="D3" s="5" t="s">
        <v>2</v>
      </c>
    </row>
    <row r="4" ht="13.5" customHeight="1">
      <c r="A4" s="2"/>
      <c r="B4" s="3"/>
      <c r="C4" s="4"/>
      <c r="D4" s="6"/>
      <c r="E4" s="6"/>
    </row>
    <row r="5" ht="13.5" customHeight="1">
      <c r="A5" s="7" t="s">
        <v>3</v>
      </c>
      <c r="B5" s="8" t="s">
        <v>4</v>
      </c>
      <c r="C5" s="9"/>
      <c r="D5" s="8" t="s">
        <v>5</v>
      </c>
      <c r="E5" s="10"/>
    </row>
    <row r="6" ht="13.5" customHeight="1">
      <c r="A6" s="11"/>
      <c r="B6" s="12" t="s">
        <v>6</v>
      </c>
      <c r="C6" s="13" t="s">
        <v>7</v>
      </c>
      <c r="D6" s="13" t="s">
        <v>6</v>
      </c>
      <c r="E6" s="14" t="s">
        <v>7</v>
      </c>
    </row>
    <row r="7" ht="13.5" customHeight="1">
      <c r="A7" s="15" t="s">
        <v>8</v>
      </c>
      <c r="B7" s="16">
        <v>212233.0</v>
      </c>
      <c r="C7" s="17"/>
      <c r="D7" s="17">
        <v>0.0</v>
      </c>
      <c r="E7" s="18"/>
    </row>
    <row r="8" ht="13.5" customHeight="1">
      <c r="A8" s="19" t="s">
        <v>9</v>
      </c>
      <c r="B8" s="20">
        <v>12150.0</v>
      </c>
      <c r="C8" s="21" t="s">
        <v>10</v>
      </c>
      <c r="D8" s="20">
        <v>5250.0</v>
      </c>
      <c r="E8" s="22" t="s">
        <v>11</v>
      </c>
    </row>
    <row r="9" ht="13.5" customHeight="1">
      <c r="A9" s="23"/>
      <c r="B9" s="24"/>
      <c r="C9" s="25" t="s">
        <v>12</v>
      </c>
      <c r="D9" s="25"/>
      <c r="E9" s="26" t="s">
        <v>13</v>
      </c>
    </row>
    <row r="10" ht="13.5" customHeight="1">
      <c r="A10" s="23"/>
      <c r="B10" s="24"/>
      <c r="C10" s="25" t="s">
        <v>14</v>
      </c>
      <c r="D10" s="25"/>
      <c r="E10" s="26" t="s">
        <v>15</v>
      </c>
    </row>
    <row r="11" ht="13.5" customHeight="1">
      <c r="A11" s="23"/>
      <c r="B11" s="24"/>
      <c r="C11" s="25" t="s">
        <v>16</v>
      </c>
      <c r="D11" s="25"/>
      <c r="E11" s="26" t="s">
        <v>17</v>
      </c>
    </row>
    <row r="12" ht="13.5" customHeight="1">
      <c r="A12" s="27"/>
      <c r="B12" s="28"/>
      <c r="C12" s="29"/>
      <c r="D12" s="29"/>
      <c r="E12" s="30"/>
    </row>
    <row r="13" ht="13.5" customHeight="1">
      <c r="A13" s="23" t="s">
        <v>18</v>
      </c>
      <c r="B13" s="24"/>
      <c r="C13" s="25"/>
      <c r="D13" s="24">
        <v>5409.0</v>
      </c>
      <c r="E13" s="26" t="s">
        <v>19</v>
      </c>
    </row>
    <row r="14" ht="13.5" customHeight="1">
      <c r="A14" s="23"/>
      <c r="B14" s="24"/>
      <c r="C14" s="25"/>
      <c r="D14" s="24"/>
      <c r="E14" s="26" t="s">
        <v>20</v>
      </c>
    </row>
    <row r="15" ht="13.5" customHeight="1">
      <c r="A15" s="23"/>
      <c r="B15" s="24"/>
      <c r="C15" s="25"/>
      <c r="D15" s="24"/>
      <c r="E15" s="26"/>
    </row>
    <row r="16" ht="13.5" customHeight="1">
      <c r="A16" s="31" t="s">
        <v>21</v>
      </c>
      <c r="B16" s="32">
        <v>30000.0</v>
      </c>
      <c r="C16" s="33" t="s">
        <v>22</v>
      </c>
      <c r="D16" s="32"/>
      <c r="E16" s="34"/>
    </row>
    <row r="17" ht="13.5" customHeight="1">
      <c r="A17" s="31" t="s">
        <v>23</v>
      </c>
      <c r="B17" s="32"/>
      <c r="C17" s="33"/>
      <c r="D17" s="32">
        <v>0.0</v>
      </c>
      <c r="E17" s="34"/>
    </row>
    <row r="18" ht="13.5" customHeight="1">
      <c r="A18" s="19" t="s">
        <v>24</v>
      </c>
      <c r="B18" s="20">
        <v>57984.0</v>
      </c>
      <c r="C18" s="21" t="s">
        <v>60</v>
      </c>
      <c r="D18" s="20">
        <v>37986.0</v>
      </c>
      <c r="E18" s="22" t="s">
        <v>61</v>
      </c>
    </row>
    <row r="19" ht="13.5" customHeight="1">
      <c r="A19" s="23"/>
      <c r="B19" s="24"/>
      <c r="C19" s="25" t="s">
        <v>25</v>
      </c>
      <c r="D19" s="29"/>
      <c r="E19" s="30" t="s">
        <v>62</v>
      </c>
    </row>
    <row r="20" ht="13.5" customHeight="1">
      <c r="A20" s="23"/>
      <c r="B20" s="24"/>
      <c r="C20" s="25"/>
      <c r="D20" s="24">
        <v>9024.0</v>
      </c>
      <c r="E20" s="26" t="s">
        <v>26</v>
      </c>
    </row>
    <row r="21" ht="13.5" customHeight="1">
      <c r="A21" s="27"/>
      <c r="B21" s="28"/>
      <c r="C21" s="29"/>
      <c r="D21" s="29"/>
      <c r="E21" s="30" t="s">
        <v>27</v>
      </c>
    </row>
    <row r="22" ht="13.5" customHeight="1">
      <c r="A22" s="31" t="s">
        <v>28</v>
      </c>
      <c r="B22" s="32"/>
      <c r="C22" s="33"/>
      <c r="D22" s="33">
        <v>0.0</v>
      </c>
      <c r="E22" s="34"/>
    </row>
    <row r="23" ht="13.5" customHeight="1">
      <c r="A23" s="23" t="s">
        <v>29</v>
      </c>
      <c r="B23" s="24"/>
      <c r="C23" s="25"/>
      <c r="D23" s="24">
        <v>9002.0</v>
      </c>
      <c r="E23" s="26" t="s">
        <v>30</v>
      </c>
    </row>
    <row r="24" ht="13.5" customHeight="1">
      <c r="A24" s="23"/>
      <c r="B24" s="24"/>
      <c r="C24" s="25"/>
      <c r="D24" s="25"/>
      <c r="E24" s="26" t="s">
        <v>31</v>
      </c>
    </row>
    <row r="25" ht="13.5" customHeight="1">
      <c r="A25" s="19" t="s">
        <v>32</v>
      </c>
      <c r="B25" s="20"/>
      <c r="C25" s="21"/>
      <c r="D25" s="20">
        <v>10850.0</v>
      </c>
      <c r="E25" s="22" t="s">
        <v>33</v>
      </c>
    </row>
    <row r="26" ht="13.5" customHeight="1">
      <c r="A26" s="23"/>
      <c r="B26" s="24"/>
      <c r="C26" s="25"/>
      <c r="D26" s="24"/>
      <c r="E26" s="26" t="s">
        <v>34</v>
      </c>
    </row>
    <row r="27" ht="13.5" customHeight="1">
      <c r="A27" s="23"/>
      <c r="B27" s="24"/>
      <c r="C27" s="25"/>
      <c r="D27" s="24"/>
      <c r="E27" s="26" t="s">
        <v>35</v>
      </c>
    </row>
    <row r="28" ht="13.5" customHeight="1">
      <c r="A28" s="23"/>
      <c r="B28" s="24"/>
      <c r="C28" s="25"/>
      <c r="D28" s="24"/>
      <c r="E28" s="26" t="s">
        <v>36</v>
      </c>
    </row>
    <row r="29" ht="13.5" customHeight="1">
      <c r="A29" s="23"/>
      <c r="B29" s="24"/>
      <c r="C29" s="25"/>
      <c r="D29" s="24"/>
      <c r="E29" s="26" t="s">
        <v>37</v>
      </c>
    </row>
    <row r="30" ht="13.5" customHeight="1">
      <c r="A30" s="23"/>
      <c r="B30" s="24"/>
      <c r="C30" s="25"/>
      <c r="D30" s="24"/>
      <c r="E30" s="26" t="s">
        <v>38</v>
      </c>
    </row>
    <row r="31" ht="13.5" customHeight="1">
      <c r="A31" s="23"/>
      <c r="B31" s="24"/>
      <c r="C31" s="25"/>
      <c r="D31" s="24"/>
      <c r="E31" s="26" t="s">
        <v>39</v>
      </c>
    </row>
    <row r="32" ht="13.5" customHeight="1">
      <c r="A32" s="23"/>
      <c r="B32" s="24"/>
      <c r="C32" s="25"/>
      <c r="D32" s="24"/>
      <c r="E32" s="26"/>
    </row>
    <row r="33" ht="13.5" customHeight="1">
      <c r="A33" s="23"/>
      <c r="B33" s="24"/>
      <c r="C33" s="25"/>
      <c r="D33" s="24"/>
      <c r="E33" s="26" t="s">
        <v>40</v>
      </c>
    </row>
    <row r="34" ht="13.5" customHeight="1">
      <c r="A34" s="27"/>
      <c r="B34" s="28"/>
      <c r="C34" s="29"/>
      <c r="D34" s="28"/>
      <c r="E34" s="30"/>
    </row>
    <row r="35" ht="13.5" customHeight="1">
      <c r="A35" s="23" t="s">
        <v>41</v>
      </c>
      <c r="B35" s="24">
        <v>4500.0</v>
      </c>
      <c r="C35" s="25" t="s">
        <v>42</v>
      </c>
      <c r="D35" s="24"/>
      <c r="E35" s="26"/>
    </row>
    <row r="36" ht="13.5" customHeight="1">
      <c r="A36" s="27"/>
      <c r="B36" s="28"/>
      <c r="C36" s="29"/>
      <c r="D36" s="29"/>
      <c r="E36" s="30"/>
    </row>
    <row r="37" ht="13.5" customHeight="1">
      <c r="A37" s="23" t="s">
        <v>43</v>
      </c>
      <c r="B37" s="24"/>
      <c r="C37" s="25"/>
      <c r="D37" s="24">
        <v>600.0</v>
      </c>
      <c r="E37" s="26" t="s">
        <v>44</v>
      </c>
    </row>
    <row r="38" ht="13.5" customHeight="1">
      <c r="A38" s="27"/>
      <c r="B38" s="28"/>
      <c r="C38" s="29"/>
      <c r="D38" s="29"/>
      <c r="E38" s="30"/>
    </row>
    <row r="39" ht="13.5" customHeight="1">
      <c r="A39" s="23" t="s">
        <v>45</v>
      </c>
      <c r="B39" s="24">
        <v>0.0</v>
      </c>
      <c r="C39" s="25"/>
      <c r="D39" s="24">
        <v>44848.0</v>
      </c>
      <c r="E39" s="26" t="s">
        <v>46</v>
      </c>
    </row>
    <row r="40" ht="13.5" customHeight="1">
      <c r="A40" s="23" t="s">
        <v>47</v>
      </c>
      <c r="B40" s="24"/>
      <c r="C40" s="25"/>
      <c r="D40" s="24"/>
      <c r="E40" s="26" t="s">
        <v>48</v>
      </c>
    </row>
    <row r="41" ht="13.5" customHeight="1">
      <c r="A41" s="23"/>
      <c r="B41" s="24"/>
      <c r="C41" s="25"/>
      <c r="D41" s="24"/>
      <c r="E41" s="26" t="s">
        <v>49</v>
      </c>
    </row>
    <row r="42" ht="13.5" customHeight="1">
      <c r="A42" s="23"/>
      <c r="B42" s="24"/>
      <c r="C42" s="25"/>
      <c r="D42" s="24"/>
      <c r="E42" s="26" t="s">
        <v>50</v>
      </c>
    </row>
    <row r="43" ht="13.5" customHeight="1">
      <c r="A43" s="23"/>
      <c r="B43" s="24"/>
      <c r="C43" s="25"/>
      <c r="D43" s="24"/>
      <c r="E43" s="26" t="s">
        <v>51</v>
      </c>
    </row>
    <row r="44" ht="13.5" customHeight="1">
      <c r="A44" s="27"/>
      <c r="B44" s="28"/>
      <c r="C44" s="29"/>
      <c r="D44" s="28"/>
      <c r="E44" s="30" t="s">
        <v>52</v>
      </c>
    </row>
    <row r="45" ht="13.5" customHeight="1">
      <c r="A45" s="31" t="s">
        <v>53</v>
      </c>
      <c r="B45" s="32"/>
      <c r="C45" s="33"/>
      <c r="D45" s="32">
        <v>1180.0</v>
      </c>
      <c r="E45" s="34" t="s">
        <v>54</v>
      </c>
    </row>
    <row r="46" ht="13.5" customHeight="1">
      <c r="A46" s="31" t="s">
        <v>55</v>
      </c>
      <c r="B46" s="32"/>
      <c r="C46" s="33"/>
      <c r="D46" s="32">
        <v>110.0</v>
      </c>
      <c r="E46" s="34"/>
    </row>
    <row r="47" ht="13.5" customHeight="1">
      <c r="A47" s="31" t="s">
        <v>56</v>
      </c>
      <c r="B47" s="32">
        <v>0.0</v>
      </c>
      <c r="C47" s="33"/>
      <c r="D47" s="32"/>
      <c r="E47" s="34"/>
    </row>
    <row r="48" ht="13.5" customHeight="1">
      <c r="A48" s="35" t="s">
        <v>57</v>
      </c>
      <c r="B48" s="36">
        <f>SUM(B8:B47)</f>
        <v>104634</v>
      </c>
      <c r="C48" s="37"/>
      <c r="D48" s="36">
        <f>SUM(D8:D47)</f>
        <v>124259</v>
      </c>
      <c r="E48" s="38"/>
      <c r="F48" s="39">
        <f>B48-D48</f>
        <v>-19625</v>
      </c>
    </row>
    <row r="49" ht="13.5" hidden="1" customHeight="1">
      <c r="A49" s="40" t="s">
        <v>58</v>
      </c>
      <c r="B49" s="41" t="s">
        <v>59</v>
      </c>
      <c r="C49" s="42"/>
      <c r="D49" s="42"/>
      <c r="E49" s="43"/>
      <c r="H49" s="39">
        <f>B7+B48-D48</f>
        <v>192608</v>
      </c>
    </row>
    <row r="50" ht="13.5" customHeight="1">
      <c r="D50" s="44">
        <v>12.0</v>
      </c>
    </row>
    <row r="51" ht="13.5" customHeight="1">
      <c r="D51" s="44">
        <f>D48/D50</f>
        <v>10354.91667</v>
      </c>
    </row>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E1"/>
    <mergeCell ref="D2:E2"/>
    <mergeCell ref="D3:E3"/>
    <mergeCell ref="A5:A6"/>
    <mergeCell ref="B5:C5"/>
    <mergeCell ref="D5:E5"/>
    <mergeCell ref="B49:E4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7.86"/>
    <col customWidth="1" min="3" max="3" width="22.57"/>
    <col customWidth="1" min="4" max="4" width="7.86"/>
    <col customWidth="1" min="5" max="5" width="22.43"/>
    <col customWidth="1" min="6" max="26" width="8.71"/>
  </cols>
  <sheetData>
    <row r="1" ht="13.5" customHeight="1">
      <c r="A1" s="1" t="s">
        <v>63</v>
      </c>
    </row>
    <row r="2" ht="13.5" customHeight="1">
      <c r="A2" s="2"/>
      <c r="B2" s="3"/>
      <c r="C2" s="4"/>
      <c r="D2" s="2" t="s">
        <v>64</v>
      </c>
    </row>
    <row r="3" ht="13.5" customHeight="1">
      <c r="A3" s="2"/>
      <c r="B3" s="3"/>
      <c r="C3" s="4"/>
      <c r="D3" s="5" t="s">
        <v>2</v>
      </c>
    </row>
    <row r="4" ht="13.5" customHeight="1">
      <c r="A4" s="2"/>
      <c r="B4" s="3"/>
      <c r="C4" s="4"/>
      <c r="D4" s="6"/>
      <c r="E4" s="6"/>
    </row>
    <row r="5" ht="13.5" customHeight="1">
      <c r="A5" s="7" t="s">
        <v>3</v>
      </c>
      <c r="B5" s="8" t="s">
        <v>4</v>
      </c>
      <c r="C5" s="9"/>
      <c r="D5" s="8" t="s">
        <v>5</v>
      </c>
      <c r="E5" s="10"/>
    </row>
    <row r="6" ht="13.5" customHeight="1">
      <c r="A6" s="11"/>
      <c r="B6" s="12" t="s">
        <v>6</v>
      </c>
      <c r="C6" s="13" t="s">
        <v>7</v>
      </c>
      <c r="D6" s="13" t="s">
        <v>6</v>
      </c>
      <c r="E6" s="14" t="s">
        <v>7</v>
      </c>
    </row>
    <row r="7" ht="13.5" customHeight="1">
      <c r="A7" s="15" t="s">
        <v>65</v>
      </c>
      <c r="B7" s="16">
        <v>192608.0</v>
      </c>
      <c r="C7" s="17"/>
      <c r="D7" s="17">
        <v>0.0</v>
      </c>
      <c r="E7" s="18"/>
    </row>
    <row r="8" ht="13.5" customHeight="1">
      <c r="A8" s="19" t="s">
        <v>9</v>
      </c>
      <c r="B8" s="20">
        <v>14150.0</v>
      </c>
      <c r="C8" s="21" t="s">
        <v>10</v>
      </c>
      <c r="D8" s="20">
        <v>8000.0</v>
      </c>
      <c r="E8" s="22" t="s">
        <v>66</v>
      </c>
    </row>
    <row r="9" ht="13.5" customHeight="1">
      <c r="A9" s="23"/>
      <c r="B9" s="24"/>
      <c r="C9" s="25" t="s">
        <v>12</v>
      </c>
      <c r="D9" s="25"/>
      <c r="E9" s="26" t="s">
        <v>67</v>
      </c>
    </row>
    <row r="10" ht="13.5" customHeight="1">
      <c r="A10" s="23"/>
      <c r="B10" s="24"/>
      <c r="C10" s="25" t="s">
        <v>68</v>
      </c>
      <c r="D10" s="25"/>
      <c r="E10" s="26" t="s">
        <v>69</v>
      </c>
    </row>
    <row r="11" ht="13.5" customHeight="1">
      <c r="A11" s="23"/>
      <c r="B11" s="24"/>
      <c r="C11" s="25" t="s">
        <v>70</v>
      </c>
      <c r="D11" s="25"/>
      <c r="E11" s="26" t="s">
        <v>71</v>
      </c>
    </row>
    <row r="12" ht="13.5" customHeight="1">
      <c r="A12" s="23"/>
      <c r="B12" s="24"/>
      <c r="C12" s="25" t="s">
        <v>14</v>
      </c>
      <c r="D12" s="25"/>
      <c r="E12" s="26"/>
    </row>
    <row r="13" ht="13.5" customHeight="1">
      <c r="A13" s="23"/>
      <c r="B13" s="24"/>
      <c r="C13" s="25" t="s">
        <v>72</v>
      </c>
      <c r="D13" s="25"/>
      <c r="E13" s="26"/>
    </row>
    <row r="14" ht="13.5" customHeight="1">
      <c r="A14" s="27"/>
      <c r="B14" s="28"/>
      <c r="C14" s="29" t="s">
        <v>73</v>
      </c>
      <c r="D14" s="29"/>
      <c r="E14" s="30"/>
    </row>
    <row r="15" ht="13.5" customHeight="1">
      <c r="A15" s="23" t="s">
        <v>74</v>
      </c>
      <c r="B15" s="24">
        <v>0.0</v>
      </c>
      <c r="C15" s="25"/>
      <c r="D15" s="24">
        <v>4540.0</v>
      </c>
      <c r="E15" s="26" t="s">
        <v>75</v>
      </c>
    </row>
    <row r="16" ht="13.5" customHeight="1">
      <c r="A16" s="23"/>
      <c r="B16" s="24"/>
      <c r="C16" s="25"/>
      <c r="D16" s="24"/>
      <c r="E16" s="26" t="s">
        <v>76</v>
      </c>
    </row>
    <row r="17" ht="13.5" customHeight="1">
      <c r="A17" s="23"/>
      <c r="B17" s="24"/>
      <c r="C17" s="25"/>
      <c r="D17" s="24"/>
      <c r="E17" s="26"/>
    </row>
    <row r="18" ht="13.5" customHeight="1">
      <c r="A18" s="31" t="s">
        <v>21</v>
      </c>
      <c r="B18" s="32">
        <v>20000.0</v>
      </c>
      <c r="C18" s="33" t="s">
        <v>22</v>
      </c>
      <c r="D18" s="32">
        <v>0.0</v>
      </c>
      <c r="E18" s="34"/>
    </row>
    <row r="19" ht="13.5" customHeight="1">
      <c r="A19" s="31" t="s">
        <v>23</v>
      </c>
      <c r="B19" s="32">
        <v>0.0</v>
      </c>
      <c r="C19" s="33"/>
      <c r="D19" s="32">
        <v>449.0</v>
      </c>
      <c r="E19" s="34" t="s">
        <v>77</v>
      </c>
    </row>
    <row r="20" ht="13.5" customHeight="1">
      <c r="A20" s="19" t="s">
        <v>24</v>
      </c>
      <c r="B20" s="20">
        <v>49950.0</v>
      </c>
      <c r="C20" s="21" t="s">
        <v>78</v>
      </c>
      <c r="D20" s="20">
        <v>36631.0</v>
      </c>
      <c r="E20" s="22" t="s">
        <v>79</v>
      </c>
    </row>
    <row r="21" ht="13.5" customHeight="1">
      <c r="A21" s="23"/>
      <c r="B21" s="24"/>
      <c r="C21" s="25" t="s">
        <v>80</v>
      </c>
      <c r="D21" s="24"/>
      <c r="E21" s="26" t="s">
        <v>81</v>
      </c>
    </row>
    <row r="22" ht="13.5" customHeight="1">
      <c r="A22" s="23"/>
      <c r="B22" s="45"/>
      <c r="C22" s="25" t="s">
        <v>82</v>
      </c>
      <c r="D22" s="46"/>
      <c r="E22" s="26" t="s">
        <v>83</v>
      </c>
    </row>
    <row r="23" ht="13.5" customHeight="1">
      <c r="A23" s="23"/>
      <c r="B23" s="24"/>
      <c r="C23" s="25" t="s">
        <v>84</v>
      </c>
      <c r="D23" s="24"/>
      <c r="E23" s="26" t="s">
        <v>85</v>
      </c>
    </row>
    <row r="24" ht="13.5" customHeight="1">
      <c r="A24" s="23"/>
      <c r="B24" s="24"/>
      <c r="C24" s="25" t="s">
        <v>86</v>
      </c>
      <c r="D24" s="24"/>
      <c r="E24" s="26" t="s">
        <v>87</v>
      </c>
      <c r="G24" s="44">
        <v>16000.0</v>
      </c>
    </row>
    <row r="25" ht="13.5" customHeight="1">
      <c r="A25" s="23"/>
      <c r="B25" s="24"/>
      <c r="C25" s="25"/>
      <c r="D25" s="24"/>
      <c r="E25" s="26" t="s">
        <v>88</v>
      </c>
      <c r="G25" s="44">
        <v>10000.0</v>
      </c>
    </row>
    <row r="26" ht="13.5" customHeight="1">
      <c r="A26" s="23"/>
      <c r="B26" s="24"/>
      <c r="C26" s="25"/>
      <c r="D26" s="24"/>
      <c r="E26" s="26"/>
      <c r="G26" s="44">
        <v>6550.0</v>
      </c>
    </row>
    <row r="27" ht="13.5" customHeight="1">
      <c r="A27" s="31" t="s">
        <v>89</v>
      </c>
      <c r="B27" s="32">
        <v>0.0</v>
      </c>
      <c r="C27" s="33"/>
      <c r="D27" s="33">
        <v>721.0</v>
      </c>
      <c r="E27" s="34" t="s">
        <v>90</v>
      </c>
      <c r="G27" s="44">
        <v>7400.0</v>
      </c>
    </row>
    <row r="28" ht="13.5" customHeight="1">
      <c r="A28" s="19" t="s">
        <v>91</v>
      </c>
      <c r="B28" s="20">
        <v>0.0</v>
      </c>
      <c r="C28" s="21"/>
      <c r="D28" s="20">
        <v>4917.0</v>
      </c>
      <c r="E28" s="22" t="s">
        <v>92</v>
      </c>
      <c r="G28" s="44">
        <v>10000.0</v>
      </c>
    </row>
    <row r="29" ht="13.5" customHeight="1">
      <c r="A29" s="23" t="s">
        <v>93</v>
      </c>
      <c r="B29" s="24"/>
      <c r="C29" s="25"/>
      <c r="D29" s="24"/>
      <c r="E29" s="26" t="s">
        <v>94</v>
      </c>
    </row>
    <row r="30" ht="13.5" customHeight="1">
      <c r="A30" s="27"/>
      <c r="B30" s="28"/>
      <c r="C30" s="29"/>
      <c r="D30" s="28"/>
      <c r="E30" s="30" t="s">
        <v>95</v>
      </c>
    </row>
    <row r="31" ht="13.5" customHeight="1">
      <c r="A31" s="31" t="s">
        <v>41</v>
      </c>
      <c r="B31" s="32">
        <v>0.0</v>
      </c>
      <c r="C31" s="33"/>
      <c r="D31" s="32"/>
      <c r="E31" s="34"/>
    </row>
    <row r="32" ht="13.5" customHeight="1">
      <c r="A32" s="23" t="s">
        <v>45</v>
      </c>
      <c r="B32" s="24">
        <v>0.0</v>
      </c>
      <c r="C32" s="25" t="s">
        <v>96</v>
      </c>
      <c r="D32" s="24">
        <v>21483.0</v>
      </c>
      <c r="E32" s="26" t="s">
        <v>97</v>
      </c>
    </row>
    <row r="33" ht="13.5" customHeight="1">
      <c r="A33" s="23" t="s">
        <v>47</v>
      </c>
      <c r="B33" s="24"/>
      <c r="C33" s="25" t="s">
        <v>98</v>
      </c>
      <c r="D33" s="24"/>
      <c r="E33" s="26" t="s">
        <v>99</v>
      </c>
    </row>
    <row r="34" ht="13.5" customHeight="1">
      <c r="A34" s="23"/>
      <c r="B34" s="24"/>
      <c r="C34" s="25"/>
      <c r="D34" s="24"/>
      <c r="E34" s="26" t="s">
        <v>100</v>
      </c>
    </row>
    <row r="35" ht="13.5" customHeight="1">
      <c r="A35" s="23"/>
      <c r="B35" s="24"/>
      <c r="C35" s="25"/>
      <c r="D35" s="24"/>
      <c r="E35" s="26" t="s">
        <v>101</v>
      </c>
    </row>
    <row r="36" ht="13.5" customHeight="1">
      <c r="A36" s="27"/>
      <c r="B36" s="28"/>
      <c r="C36" s="29"/>
      <c r="D36" s="28"/>
      <c r="E36" s="26" t="s">
        <v>102</v>
      </c>
    </row>
    <row r="37" ht="13.5" customHeight="1">
      <c r="A37" s="27" t="s">
        <v>103</v>
      </c>
      <c r="B37" s="28"/>
      <c r="C37" s="29"/>
      <c r="D37" s="28">
        <v>770.0</v>
      </c>
      <c r="E37" s="34"/>
    </row>
    <row r="38" ht="13.5" customHeight="1">
      <c r="A38" s="31" t="s">
        <v>56</v>
      </c>
      <c r="B38" s="32"/>
      <c r="C38" s="33"/>
      <c r="D38" s="32"/>
      <c r="E38" s="34"/>
    </row>
    <row r="39" ht="13.5" customHeight="1">
      <c r="A39" s="35" t="s">
        <v>104</v>
      </c>
      <c r="B39" s="36">
        <f>SUM(B8:B38)</f>
        <v>84100</v>
      </c>
      <c r="C39" s="37"/>
      <c r="D39" s="36">
        <f>SUM(D8:D38)</f>
        <v>77511</v>
      </c>
      <c r="E39" s="47"/>
      <c r="F39" s="39">
        <f>B39-D39</f>
        <v>6589</v>
      </c>
    </row>
    <row r="40" ht="13.5" hidden="1" customHeight="1">
      <c r="A40" s="40" t="s">
        <v>105</v>
      </c>
      <c r="B40" s="41" t="s">
        <v>106</v>
      </c>
      <c r="C40" s="42"/>
      <c r="D40" s="42"/>
      <c r="E40" s="43"/>
      <c r="H40" s="44">
        <f>192608+84100-77511</f>
        <v>199197</v>
      </c>
    </row>
    <row r="41" ht="13.5" customHeight="1">
      <c r="D41" s="44">
        <v>12.0</v>
      </c>
    </row>
    <row r="42" ht="13.5" customHeight="1">
      <c r="D42" s="44">
        <f>D39/D41</f>
        <v>6459.25</v>
      </c>
    </row>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E1"/>
    <mergeCell ref="D2:E2"/>
    <mergeCell ref="D3:E3"/>
    <mergeCell ref="A5:A6"/>
    <mergeCell ref="B5:C5"/>
    <mergeCell ref="D5:E5"/>
    <mergeCell ref="B40:E4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7.14"/>
    <col customWidth="1" min="3" max="3" width="22.57"/>
    <col customWidth="1" min="4" max="4" width="7.86"/>
    <col customWidth="1" min="5" max="5" width="22.43"/>
    <col customWidth="1" min="6" max="26" width="8.71"/>
  </cols>
  <sheetData>
    <row r="1" ht="13.5" customHeight="1">
      <c r="A1" s="1" t="s">
        <v>107</v>
      </c>
    </row>
    <row r="2" ht="13.5" customHeight="1">
      <c r="A2" s="2"/>
      <c r="B2" s="3"/>
      <c r="C2" s="4"/>
      <c r="D2" s="2" t="s">
        <v>108</v>
      </c>
    </row>
    <row r="3" ht="13.5" customHeight="1">
      <c r="A3" s="2"/>
      <c r="B3" s="3"/>
      <c r="C3" s="4"/>
      <c r="D3" s="5" t="s">
        <v>2</v>
      </c>
    </row>
    <row r="4" ht="13.5" customHeight="1">
      <c r="A4" s="2"/>
      <c r="B4" s="3"/>
      <c r="C4" s="4"/>
      <c r="D4" s="6"/>
      <c r="E4" s="6"/>
    </row>
    <row r="5" ht="13.5" customHeight="1">
      <c r="A5" s="7" t="s">
        <v>3</v>
      </c>
      <c r="B5" s="8" t="s">
        <v>109</v>
      </c>
      <c r="C5" s="9"/>
      <c r="D5" s="8" t="s">
        <v>5</v>
      </c>
      <c r="E5" s="10"/>
    </row>
    <row r="6" ht="13.5" customHeight="1">
      <c r="A6" s="11"/>
      <c r="B6" s="12" t="s">
        <v>6</v>
      </c>
      <c r="C6" s="13" t="s">
        <v>7</v>
      </c>
      <c r="D6" s="13" t="s">
        <v>6</v>
      </c>
      <c r="E6" s="14" t="s">
        <v>7</v>
      </c>
    </row>
    <row r="7" ht="13.5" customHeight="1">
      <c r="A7" s="15" t="s">
        <v>58</v>
      </c>
      <c r="B7" s="16">
        <v>199197.0</v>
      </c>
      <c r="C7" s="17"/>
      <c r="D7" s="17">
        <v>0.0</v>
      </c>
      <c r="E7" s="18"/>
    </row>
    <row r="8" ht="13.5" customHeight="1">
      <c r="A8" s="19" t="s">
        <v>9</v>
      </c>
      <c r="B8" s="20">
        <v>21300.0</v>
      </c>
      <c r="C8" s="21" t="s">
        <v>110</v>
      </c>
      <c r="D8" s="20">
        <v>9450.0</v>
      </c>
      <c r="E8" s="22" t="s">
        <v>111</v>
      </c>
    </row>
    <row r="9" ht="13.5" customHeight="1">
      <c r="A9" s="23"/>
      <c r="B9" s="24"/>
      <c r="C9" s="25" t="s">
        <v>112</v>
      </c>
      <c r="D9" s="25"/>
      <c r="E9" s="26" t="s">
        <v>113</v>
      </c>
    </row>
    <row r="10" ht="13.5" customHeight="1">
      <c r="A10" s="23"/>
      <c r="B10" s="24"/>
      <c r="C10" s="25" t="s">
        <v>114</v>
      </c>
      <c r="D10" s="25"/>
      <c r="E10" s="26" t="s">
        <v>115</v>
      </c>
    </row>
    <row r="11" ht="13.5" customHeight="1">
      <c r="A11" s="23"/>
      <c r="B11" s="24"/>
      <c r="C11" s="25" t="s">
        <v>116</v>
      </c>
      <c r="D11" s="25"/>
      <c r="E11" s="26" t="s">
        <v>117</v>
      </c>
    </row>
    <row r="12" ht="13.5" customHeight="1">
      <c r="A12" s="27"/>
      <c r="B12" s="28"/>
      <c r="C12" s="29"/>
      <c r="D12" s="29"/>
      <c r="E12" s="30"/>
    </row>
    <row r="13" ht="13.5" customHeight="1">
      <c r="A13" s="31" t="s">
        <v>21</v>
      </c>
      <c r="B13" s="32">
        <v>70000.0</v>
      </c>
      <c r="C13" s="33" t="s">
        <v>22</v>
      </c>
      <c r="D13" s="32">
        <v>0.0</v>
      </c>
      <c r="E13" s="34"/>
    </row>
    <row r="14" ht="13.5" customHeight="1">
      <c r="A14" s="23" t="s">
        <v>118</v>
      </c>
      <c r="B14" s="24">
        <v>27000.0</v>
      </c>
      <c r="C14" s="25" t="s">
        <v>119</v>
      </c>
      <c r="D14" s="25"/>
      <c r="E14" s="26"/>
    </row>
    <row r="15" ht="13.5" customHeight="1">
      <c r="A15" s="23"/>
      <c r="B15" s="24"/>
      <c r="C15" s="48" t="s">
        <v>120</v>
      </c>
      <c r="D15" s="25"/>
      <c r="E15" s="26"/>
    </row>
    <row r="16" ht="13.5" customHeight="1">
      <c r="A16" s="23"/>
      <c r="B16" s="24"/>
      <c r="C16" s="25" t="s">
        <v>121</v>
      </c>
      <c r="D16" s="25"/>
      <c r="E16" s="26"/>
    </row>
    <row r="17" ht="13.5" customHeight="1">
      <c r="A17" s="23"/>
      <c r="B17" s="24"/>
      <c r="C17" s="25" t="s">
        <v>122</v>
      </c>
      <c r="D17" s="25"/>
      <c r="E17" s="26"/>
    </row>
    <row r="18" ht="13.5" customHeight="1">
      <c r="A18" s="23"/>
      <c r="B18" s="24"/>
      <c r="C18" s="25"/>
      <c r="D18" s="25"/>
      <c r="E18" s="26"/>
    </row>
    <row r="19" ht="13.5" customHeight="1">
      <c r="A19" s="27"/>
      <c r="B19" s="28"/>
      <c r="C19" s="29"/>
      <c r="D19" s="29"/>
      <c r="E19" s="30"/>
    </row>
    <row r="20" ht="13.5" customHeight="1">
      <c r="A20" s="23" t="s">
        <v>74</v>
      </c>
      <c r="B20" s="24">
        <v>0.0</v>
      </c>
      <c r="C20" s="25"/>
      <c r="D20" s="24">
        <v>10481.0</v>
      </c>
      <c r="E20" s="26" t="s">
        <v>123</v>
      </c>
    </row>
    <row r="21" ht="13.5" customHeight="1">
      <c r="A21" s="23"/>
      <c r="B21" s="24"/>
      <c r="C21" s="25"/>
      <c r="D21" s="24"/>
      <c r="E21" s="26" t="s">
        <v>124</v>
      </c>
    </row>
    <row r="22" ht="13.5" customHeight="1">
      <c r="A22" s="23"/>
      <c r="B22" s="24"/>
      <c r="C22" s="25"/>
      <c r="D22" s="24"/>
      <c r="E22" s="26" t="s">
        <v>125</v>
      </c>
      <c r="G22" s="39">
        <f>B32</f>
        <v>118300</v>
      </c>
    </row>
    <row r="23" ht="13.5" customHeight="1">
      <c r="A23" s="31" t="s">
        <v>23</v>
      </c>
      <c r="B23" s="32">
        <v>0.0</v>
      </c>
      <c r="C23" s="33"/>
      <c r="D23" s="32">
        <v>414.0</v>
      </c>
      <c r="E23" s="34" t="s">
        <v>126</v>
      </c>
      <c r="G23" s="39">
        <f>D23+D20+D8</f>
        <v>20345</v>
      </c>
    </row>
    <row r="24" ht="13.5" customHeight="1">
      <c r="A24" s="19" t="s">
        <v>127</v>
      </c>
      <c r="B24" s="20">
        <v>0.0</v>
      </c>
      <c r="C24" s="21"/>
      <c r="D24" s="20">
        <v>94850.0</v>
      </c>
      <c r="E24" s="22" t="s">
        <v>128</v>
      </c>
      <c r="G24" s="39">
        <f>G22-G23</f>
        <v>97955</v>
      </c>
    </row>
    <row r="25" ht="13.5" customHeight="1">
      <c r="A25" s="23"/>
      <c r="B25" s="24"/>
      <c r="C25" s="25"/>
      <c r="D25" s="24"/>
      <c r="E25" s="26" t="s">
        <v>129</v>
      </c>
    </row>
    <row r="26" ht="13.5" customHeight="1">
      <c r="A26" s="23"/>
      <c r="B26" s="24"/>
      <c r="C26" s="25"/>
      <c r="D26" s="24"/>
      <c r="E26" s="26" t="s">
        <v>130</v>
      </c>
    </row>
    <row r="27" ht="13.5" customHeight="1">
      <c r="A27" s="23"/>
      <c r="B27" s="24"/>
      <c r="C27" s="25"/>
      <c r="D27" s="24"/>
      <c r="E27" s="26" t="s">
        <v>131</v>
      </c>
    </row>
    <row r="28" ht="13.5" customHeight="1">
      <c r="A28" s="23"/>
      <c r="B28" s="24"/>
      <c r="C28" s="25"/>
      <c r="D28" s="24"/>
      <c r="E28" s="26" t="s">
        <v>132</v>
      </c>
    </row>
    <row r="29" ht="13.5" customHeight="1">
      <c r="A29" s="27"/>
      <c r="B29" s="28">
        <v>0.0</v>
      </c>
      <c r="C29" s="29"/>
      <c r="D29" s="28"/>
      <c r="E29" s="30"/>
    </row>
    <row r="30" ht="13.5" customHeight="1">
      <c r="A30" s="27" t="s">
        <v>103</v>
      </c>
      <c r="B30" s="28"/>
      <c r="C30" s="29"/>
      <c r="D30" s="28"/>
      <c r="E30" s="34"/>
    </row>
    <row r="31" ht="13.5" customHeight="1">
      <c r="A31" s="31" t="s">
        <v>56</v>
      </c>
      <c r="B31" s="32"/>
      <c r="C31" s="33"/>
      <c r="D31" s="32"/>
      <c r="E31" s="34"/>
    </row>
    <row r="32" ht="13.5" customHeight="1">
      <c r="A32" s="35" t="s">
        <v>104</v>
      </c>
      <c r="B32" s="36">
        <f>SUM(B8:B31)</f>
        <v>118300</v>
      </c>
      <c r="C32" s="37"/>
      <c r="D32" s="36">
        <f>SUM(D8:D31)</f>
        <v>115195</v>
      </c>
      <c r="E32" s="47"/>
      <c r="F32" s="39">
        <f>B32-D32</f>
        <v>3105</v>
      </c>
    </row>
    <row r="33" ht="13.5" hidden="1" customHeight="1">
      <c r="A33" s="40" t="s">
        <v>105</v>
      </c>
      <c r="B33" s="41" t="s">
        <v>133</v>
      </c>
      <c r="C33" s="42"/>
      <c r="D33" s="42"/>
      <c r="E33" s="43"/>
    </row>
    <row r="34" ht="13.5" customHeight="1">
      <c r="D34" s="44">
        <v>21.0</v>
      </c>
      <c r="G34" s="44">
        <f>F32/21</f>
        <v>147.8571429</v>
      </c>
    </row>
    <row r="35" ht="13.5" customHeight="1">
      <c r="D35" s="44">
        <f>D32/D34</f>
        <v>5485.47619</v>
      </c>
    </row>
    <row r="36" ht="13.5" customHeight="1">
      <c r="B36" s="39"/>
    </row>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E1"/>
    <mergeCell ref="D2:E2"/>
    <mergeCell ref="D3:E3"/>
    <mergeCell ref="A5:A6"/>
    <mergeCell ref="B5:C5"/>
    <mergeCell ref="D5:E5"/>
    <mergeCell ref="B33:E33"/>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3.5" customHeight="1"/>
    <row r="2" ht="13.5" customHeight="1">
      <c r="B2" s="44" t="s">
        <v>134</v>
      </c>
    </row>
    <row r="3" ht="13.5" customHeight="1">
      <c r="B3" s="44" t="s">
        <v>135</v>
      </c>
    </row>
    <row r="4" ht="13.5" customHeight="1">
      <c r="B4" s="44" t="s">
        <v>136</v>
      </c>
    </row>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3.5" customHeight="1">
      <c r="A1" s="1" t="s">
        <v>137</v>
      </c>
    </row>
    <row r="2" ht="13.5" customHeight="1">
      <c r="I2" s="44" t="s">
        <v>138</v>
      </c>
    </row>
    <row r="3" ht="13.5" customHeight="1">
      <c r="A3" s="44" t="s">
        <v>139</v>
      </c>
    </row>
    <row r="4" ht="13.5" customHeight="1">
      <c r="A4" s="44" t="s">
        <v>140</v>
      </c>
      <c r="K4" s="44" t="s">
        <v>141</v>
      </c>
      <c r="L4" s="44" t="s">
        <v>142</v>
      </c>
      <c r="M4" s="44" t="s">
        <v>143</v>
      </c>
      <c r="N4" s="44" t="s">
        <v>144</v>
      </c>
    </row>
    <row r="5" ht="13.5" customHeight="1">
      <c r="A5" s="44" t="s">
        <v>145</v>
      </c>
      <c r="J5" s="44" t="s">
        <v>146</v>
      </c>
      <c r="K5" s="44">
        <v>12.0</v>
      </c>
      <c r="L5" s="49">
        <v>66650.0</v>
      </c>
      <c r="M5" s="49">
        <v>86273.0</v>
      </c>
      <c r="N5" s="50">
        <f t="shared" ref="N5:N7" si="1">M5/K5</f>
        <v>7189.416667</v>
      </c>
    </row>
    <row r="6" ht="13.5" customHeight="1">
      <c r="A6" s="44" t="s">
        <v>147</v>
      </c>
      <c r="J6" s="44" t="s">
        <v>148</v>
      </c>
      <c r="K6" s="44">
        <v>12.0</v>
      </c>
      <c r="L6" s="51">
        <v>84100.0</v>
      </c>
      <c r="M6" s="51">
        <v>77511.0</v>
      </c>
      <c r="N6" s="50">
        <f t="shared" si="1"/>
        <v>6459.25</v>
      </c>
    </row>
    <row r="7" ht="13.5" customHeight="1">
      <c r="J7" s="44" t="s">
        <v>149</v>
      </c>
      <c r="K7" s="44">
        <v>21.0</v>
      </c>
      <c r="L7" s="51">
        <v>68300.0</v>
      </c>
      <c r="M7" s="51">
        <v>115195.0</v>
      </c>
      <c r="N7" s="50">
        <f t="shared" si="1"/>
        <v>5485.47619</v>
      </c>
    </row>
    <row r="8" ht="13.5" customHeight="1"/>
    <row r="9" ht="13.5" customHeight="1"/>
    <row r="10" ht="13.5" customHeight="1">
      <c r="K10" s="44" t="s">
        <v>150</v>
      </c>
      <c r="L10" s="44" t="s">
        <v>151</v>
      </c>
      <c r="M10" s="44" t="s">
        <v>152</v>
      </c>
      <c r="N10" s="44" t="s">
        <v>153</v>
      </c>
      <c r="O10" s="44" t="s">
        <v>154</v>
      </c>
      <c r="P10" s="44" t="s">
        <v>155</v>
      </c>
    </row>
    <row r="11" ht="13.5" customHeight="1">
      <c r="J11" s="44" t="s">
        <v>21</v>
      </c>
      <c r="K11" s="44">
        <v>30000.0</v>
      </c>
      <c r="L11" s="52">
        <v>86273.0</v>
      </c>
      <c r="M11" s="44">
        <v>36000.0</v>
      </c>
      <c r="N11" s="2">
        <v>77511.0</v>
      </c>
      <c r="O11" s="44">
        <v>20000.0</v>
      </c>
      <c r="P11" s="2">
        <v>115195.0</v>
      </c>
    </row>
    <row r="12" ht="13.5" customHeight="1">
      <c r="J12" s="44" t="s">
        <v>118</v>
      </c>
      <c r="K12" s="44">
        <v>24500.0</v>
      </c>
      <c r="M12" s="44">
        <v>33950.0</v>
      </c>
      <c r="O12" s="44">
        <v>27000.0</v>
      </c>
    </row>
    <row r="13" ht="13.5" customHeight="1">
      <c r="J13" s="44" t="s">
        <v>9</v>
      </c>
      <c r="K13" s="20">
        <v>12150.0</v>
      </c>
      <c r="M13" s="44">
        <v>12150.0</v>
      </c>
      <c r="O13" s="44">
        <v>21300.0</v>
      </c>
    </row>
    <row r="14" ht="13.5" customHeight="1"/>
    <row r="15" ht="13.5" customHeight="1"/>
    <row r="16" ht="13.5" customHeight="1"/>
    <row r="17" ht="13.5" customHeight="1"/>
    <row r="18" ht="13.5" customHeight="1"/>
    <row r="19" ht="13.5" customHeight="1"/>
    <row r="20" ht="13.5" customHeight="1">
      <c r="A20" s="44" t="s">
        <v>156</v>
      </c>
    </row>
    <row r="21" ht="13.5" customHeight="1">
      <c r="A21" s="53" t="s">
        <v>157</v>
      </c>
      <c r="B21" s="53"/>
      <c r="C21" s="53"/>
      <c r="D21" s="53"/>
      <c r="E21" s="53"/>
    </row>
    <row r="22" ht="13.5" customHeight="1">
      <c r="A22" s="54"/>
      <c r="B22" s="54" t="s">
        <v>158</v>
      </c>
      <c r="C22" s="54"/>
      <c r="D22" s="55">
        <v>350.0</v>
      </c>
      <c r="E22" s="54" t="s">
        <v>159</v>
      </c>
    </row>
    <row r="23" ht="13.5" customHeight="1">
      <c r="D23" s="50"/>
    </row>
    <row r="24" ht="13.5" customHeight="1">
      <c r="A24" s="53" t="s">
        <v>160</v>
      </c>
      <c r="B24" s="53"/>
      <c r="C24" s="53"/>
      <c r="D24" s="50"/>
      <c r="E24" s="53"/>
    </row>
    <row r="25" ht="13.5" customHeight="1">
      <c r="A25" s="53"/>
      <c r="B25" s="53" t="s">
        <v>161</v>
      </c>
      <c r="C25" s="53"/>
      <c r="D25" s="56">
        <v>1000.0</v>
      </c>
      <c r="E25" s="53" t="s">
        <v>162</v>
      </c>
    </row>
    <row r="26" ht="13.5" customHeight="1">
      <c r="A26" s="54"/>
      <c r="B26" s="54" t="s">
        <v>163</v>
      </c>
      <c r="C26" s="54"/>
      <c r="D26" s="55">
        <v>300.0</v>
      </c>
      <c r="E26" s="54" t="s">
        <v>159</v>
      </c>
    </row>
    <row r="27" ht="13.5" customHeight="1">
      <c r="D27" s="50"/>
    </row>
    <row r="28" ht="13.5" customHeight="1">
      <c r="A28" s="53" t="s">
        <v>164</v>
      </c>
      <c r="B28" s="53"/>
      <c r="C28" s="53"/>
      <c r="D28" s="50"/>
      <c r="E28" s="53"/>
    </row>
    <row r="29" ht="13.5" customHeight="1">
      <c r="A29" s="54"/>
      <c r="B29" s="54" t="s">
        <v>165</v>
      </c>
      <c r="C29" s="54"/>
      <c r="D29" s="55">
        <v>150.0</v>
      </c>
      <c r="E29" s="54" t="s">
        <v>166</v>
      </c>
    </row>
    <row r="30" ht="13.5" customHeight="1">
      <c r="D30" s="50"/>
    </row>
    <row r="31" ht="13.5" customHeight="1">
      <c r="A31" s="53" t="s">
        <v>167</v>
      </c>
      <c r="B31" s="53"/>
      <c r="C31" s="53"/>
      <c r="D31" s="50"/>
      <c r="E31" s="53"/>
    </row>
    <row r="32" ht="13.5" customHeight="1">
      <c r="A32" s="54"/>
      <c r="B32" s="54" t="s">
        <v>168</v>
      </c>
      <c r="C32" s="54"/>
      <c r="D32" s="55">
        <v>300.0</v>
      </c>
      <c r="E32" s="54" t="s">
        <v>166</v>
      </c>
    </row>
    <row r="33" ht="13.5" customHeight="1">
      <c r="D33" s="50"/>
      <c r="G33" s="44" t="s">
        <v>169</v>
      </c>
    </row>
    <row r="34" ht="13.5" customHeight="1">
      <c r="A34" s="53" t="s">
        <v>170</v>
      </c>
      <c r="B34" s="53"/>
      <c r="C34" s="53"/>
      <c r="D34" s="50"/>
      <c r="E34" s="53"/>
      <c r="G34" s="44" t="s">
        <v>171</v>
      </c>
    </row>
    <row r="35" ht="13.5" customHeight="1">
      <c r="A35" s="54"/>
      <c r="B35" s="54" t="s">
        <v>168</v>
      </c>
      <c r="C35" s="54"/>
      <c r="D35" s="55">
        <v>300.0</v>
      </c>
      <c r="E35" s="54" t="s">
        <v>166</v>
      </c>
    </row>
    <row r="36" ht="13.5" customHeight="1">
      <c r="D36" s="50"/>
      <c r="G36" s="44" t="s">
        <v>172</v>
      </c>
    </row>
    <row r="37" ht="13.5" customHeight="1">
      <c r="A37" s="53" t="s">
        <v>173</v>
      </c>
      <c r="B37" s="53"/>
      <c r="C37" s="53"/>
      <c r="D37" s="50"/>
      <c r="E37" s="53"/>
      <c r="G37" s="44" t="s">
        <v>174</v>
      </c>
    </row>
    <row r="38" ht="13.5" customHeight="1">
      <c r="A38" s="54"/>
      <c r="B38" s="54" t="s">
        <v>168</v>
      </c>
      <c r="C38" s="54"/>
      <c r="D38" s="55">
        <v>300.0</v>
      </c>
      <c r="E38" s="54" t="s">
        <v>166</v>
      </c>
    </row>
    <row r="39" ht="13.5" customHeight="1">
      <c r="D39" s="50"/>
    </row>
    <row r="40" ht="13.5" customHeight="1">
      <c r="A40" s="53" t="s">
        <v>175</v>
      </c>
      <c r="B40" s="53"/>
      <c r="C40" s="53"/>
      <c r="D40" s="50"/>
      <c r="E40" s="53"/>
    </row>
    <row r="41" ht="13.5" customHeight="1">
      <c r="A41" s="53"/>
      <c r="B41" s="53" t="s">
        <v>176</v>
      </c>
      <c r="C41" s="53"/>
      <c r="D41" s="50">
        <v>4500.0</v>
      </c>
      <c r="E41" s="53" t="s">
        <v>177</v>
      </c>
    </row>
    <row r="42" ht="13.5" customHeight="1">
      <c r="A42" s="54"/>
      <c r="B42" s="54" t="s">
        <v>168</v>
      </c>
      <c r="C42" s="54"/>
      <c r="D42" s="55">
        <v>300.0</v>
      </c>
      <c r="E42" s="54" t="s">
        <v>166</v>
      </c>
    </row>
    <row r="43" ht="13.5" customHeight="1">
      <c r="D43" s="50"/>
    </row>
    <row r="44" ht="13.5" customHeight="1">
      <c r="A44" s="53" t="s">
        <v>178</v>
      </c>
      <c r="B44" s="53"/>
      <c r="C44" s="53"/>
      <c r="D44" s="50"/>
      <c r="E44" s="53"/>
    </row>
    <row r="45" ht="13.5" customHeight="1">
      <c r="A45" s="53"/>
      <c r="B45" s="53" t="s">
        <v>179</v>
      </c>
      <c r="C45" s="53"/>
      <c r="D45" s="56">
        <v>3000.0</v>
      </c>
      <c r="E45" s="53" t="s">
        <v>180</v>
      </c>
    </row>
    <row r="46" ht="13.5" customHeight="1">
      <c r="A46" s="53"/>
      <c r="B46" s="53" t="s">
        <v>163</v>
      </c>
      <c r="C46" s="53"/>
      <c r="D46" s="50">
        <v>300.0</v>
      </c>
      <c r="E46" s="53" t="s">
        <v>159</v>
      </c>
    </row>
    <row r="47" ht="13.5" customHeight="1">
      <c r="A47" s="54"/>
      <c r="B47" s="54" t="s">
        <v>181</v>
      </c>
      <c r="C47" s="54"/>
      <c r="D47" s="55">
        <v>1500.0</v>
      </c>
      <c r="E47" s="54" t="s">
        <v>159</v>
      </c>
      <c r="F47" s="44" t="s">
        <v>182</v>
      </c>
    </row>
    <row r="48" ht="13.5" customHeight="1">
      <c r="A48" s="44" t="s">
        <v>183</v>
      </c>
      <c r="D48" s="50">
        <f>SUM(D22:D47)</f>
        <v>12300</v>
      </c>
    </row>
    <row r="49" ht="13.5" customHeight="1"/>
    <row r="50" ht="13.5" customHeight="1">
      <c r="A50" s="44" t="s">
        <v>184</v>
      </c>
    </row>
    <row r="51" ht="13.5" customHeight="1">
      <c r="A51" s="57" t="s">
        <v>185</v>
      </c>
    </row>
    <row r="52" ht="13.5" customHeight="1">
      <c r="F52" s="44" t="s">
        <v>186</v>
      </c>
    </row>
    <row r="53" ht="13.5" customHeight="1">
      <c r="A53" s="44" t="s">
        <v>187</v>
      </c>
    </row>
    <row r="54" ht="13.5" customHeight="1">
      <c r="A54" s="44" t="s">
        <v>188</v>
      </c>
    </row>
    <row r="55" ht="13.5" customHeight="1">
      <c r="A55" s="44" t="s">
        <v>189</v>
      </c>
    </row>
    <row r="56" ht="13.5" customHeight="1">
      <c r="A56" s="44" t="s">
        <v>190</v>
      </c>
    </row>
    <row r="57" ht="13.5" customHeight="1">
      <c r="A57" s="44" t="s">
        <v>191</v>
      </c>
    </row>
    <row r="58" ht="13.5" customHeight="1">
      <c r="A58" s="44" t="s">
        <v>192</v>
      </c>
    </row>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A1:I1"/>
    <mergeCell ref="L11:L13"/>
    <mergeCell ref="N11:N13"/>
    <mergeCell ref="P11:P13"/>
  </mergeCells>
  <printOptions horizontalCentered="1" verticalCentered="1"/>
  <pageMargins bottom="0.7480314960629921" footer="0.0" header="0.0" left="0.0" right="0.0" top="0.7480314960629921"/>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2025-10-26T11:28:25Z</dcterms:created>
  <dc:creator>aaa</dc:creator>
</cp:coreProperties>
</file>