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73862BDE-9212-4649-B1E4-7CAB2C01EE9D}" xr6:coauthVersionLast="47" xr6:coauthVersionMax="47" xr10:uidLastSave="{00000000-0000-0000-0000-000000000000}"/>
  <bookViews>
    <workbookView xWindow="4935" yWindow="2175" windowWidth="21600" windowHeight="12225" xr2:uid="{00000000-000D-0000-FFFF-FFFF00000000}"/>
  </bookViews>
  <sheets>
    <sheet name="予算案" sheetId="2" r:id="rId1"/>
    <sheet name="実績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" l="1"/>
  <c r="I24" i="2"/>
  <c r="I23" i="2"/>
  <c r="I22" i="2"/>
  <c r="I21" i="2"/>
  <c r="D30" i="2"/>
  <c r="D22" i="2"/>
  <c r="D23" i="2"/>
  <c r="D24" i="2"/>
  <c r="D21" i="2"/>
  <c r="D25" i="2" l="1"/>
  <c r="D34" i="2" s="1"/>
  <c r="I25" i="2"/>
  <c r="I34" i="2" s="1"/>
  <c r="I33" i="2"/>
  <c r="I35" i="2" s="1"/>
  <c r="H37" i="2" s="1"/>
  <c r="D33" i="2" l="1"/>
  <c r="D35" i="2" s="1"/>
  <c r="C37" i="2" s="1"/>
</calcChain>
</file>

<file path=xl/sharedStrings.xml><?xml version="1.0" encoding="utf-8"?>
<sst xmlns="http://schemas.openxmlformats.org/spreadsheetml/2006/main" count="39" uniqueCount="21">
  <si>
    <t>予算</t>
    <rPh sb="0" eb="2">
      <t>ヨサン</t>
    </rPh>
    <phoneticPr fontId="1"/>
  </si>
  <si>
    <t>子ども会費</t>
    <rPh sb="0" eb="1">
      <t>コ</t>
    </rPh>
    <rPh sb="3" eb="5">
      <t>カイヒ</t>
    </rPh>
    <phoneticPr fontId="1"/>
  </si>
  <si>
    <t>町内会助成金</t>
    <rPh sb="0" eb="2">
      <t>チョウナイ</t>
    </rPh>
    <rPh sb="2" eb="3">
      <t>カイ</t>
    </rPh>
    <rPh sb="3" eb="6">
      <t>ジョセイキン</t>
    </rPh>
    <phoneticPr fontId="1"/>
  </si>
  <si>
    <t>合計</t>
    <rPh sb="0" eb="2">
      <t>ゴウケイ</t>
    </rPh>
    <phoneticPr fontId="1"/>
  </si>
  <si>
    <t>支出</t>
    <rPh sb="0" eb="2">
      <t>シシュツ</t>
    </rPh>
    <phoneticPr fontId="1"/>
  </si>
  <si>
    <t>飲食</t>
    <rPh sb="0" eb="2">
      <t>インショク</t>
    </rPh>
    <phoneticPr fontId="1"/>
  </si>
  <si>
    <t>プレゼント</t>
    <phoneticPr fontId="1"/>
  </si>
  <si>
    <t>単価</t>
    <rPh sb="0" eb="2">
      <t>タンカ</t>
    </rPh>
    <phoneticPr fontId="1"/>
  </si>
  <si>
    <t>計</t>
    <rPh sb="0" eb="1">
      <t>ケイ</t>
    </rPh>
    <phoneticPr fontId="1"/>
  </si>
  <si>
    <t>プレゼント代</t>
    <rPh sb="5" eb="6">
      <t>ダイ</t>
    </rPh>
    <phoneticPr fontId="1"/>
  </si>
  <si>
    <t>員数</t>
    <rPh sb="0" eb="2">
      <t>インスウ</t>
    </rPh>
    <phoneticPr fontId="1"/>
  </si>
  <si>
    <t>秋祭り余りお菓子</t>
    <rPh sb="0" eb="2">
      <t>アキマツ</t>
    </rPh>
    <rPh sb="3" eb="4">
      <t>アマ</t>
    </rPh>
    <rPh sb="6" eb="8">
      <t>カシ</t>
    </rPh>
    <phoneticPr fontId="1"/>
  </si>
  <si>
    <t>秋祭りお礼分</t>
    <rPh sb="0" eb="2">
      <t>アキマツ</t>
    </rPh>
    <rPh sb="4" eb="5">
      <t>レイ</t>
    </rPh>
    <rPh sb="5" eb="6">
      <t>ブン</t>
    </rPh>
    <phoneticPr fontId="1"/>
  </si>
  <si>
    <t>ｸﾘｽﾏｽお菓子</t>
    <rPh sb="6" eb="8">
      <t>カシ</t>
    </rPh>
    <phoneticPr fontId="1"/>
  </si>
  <si>
    <t>QUOカード</t>
    <phoneticPr fontId="1"/>
  </si>
  <si>
    <t>差額</t>
    <rPh sb="0" eb="2">
      <t>サガク</t>
    </rPh>
    <phoneticPr fontId="1"/>
  </si>
  <si>
    <t>(\1,630/人）</t>
    <rPh sb="8" eb="9">
      <t>ニン</t>
    </rPh>
    <phoneticPr fontId="1"/>
  </si>
  <si>
    <t>企画内容：クリスマス会</t>
    <rPh sb="0" eb="2">
      <t>キカク</t>
    </rPh>
    <rPh sb="2" eb="4">
      <t>ナイヨウ</t>
    </rPh>
    <rPh sb="10" eb="11">
      <t>カイ</t>
    </rPh>
    <phoneticPr fontId="1"/>
  </si>
  <si>
    <t>お店やボーリング場で開催、自治会館を利用して開催など</t>
    <rPh sb="1" eb="2">
      <t>ミセ</t>
    </rPh>
    <rPh sb="8" eb="9">
      <t>ジョウ</t>
    </rPh>
    <rPh sb="10" eb="12">
      <t>カイサイ</t>
    </rPh>
    <rPh sb="13" eb="17">
      <t>ジチカイカン</t>
    </rPh>
    <rPh sb="18" eb="20">
      <t>リヨウ</t>
    </rPh>
    <rPh sb="22" eb="24">
      <t>カイサイ</t>
    </rPh>
    <phoneticPr fontId="1"/>
  </si>
  <si>
    <t>内容に合わせて予算案作成</t>
    <rPh sb="0" eb="2">
      <t>ナイヨウ</t>
    </rPh>
    <rPh sb="3" eb="4">
      <t>ア</t>
    </rPh>
    <rPh sb="7" eb="9">
      <t>ヨサン</t>
    </rPh>
    <rPh sb="9" eb="10">
      <t>アン</t>
    </rPh>
    <rPh sb="10" eb="12">
      <t>サクセイ</t>
    </rPh>
    <phoneticPr fontId="1"/>
  </si>
  <si>
    <t>↓記入例（削除して使用する）</t>
    <rPh sb="1" eb="4">
      <t>キニュウレイ</t>
    </rPh>
    <rPh sb="5" eb="7">
      <t>サクジョ</t>
    </rPh>
    <rPh sb="9" eb="11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</si>
</sst>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9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b/>
      <sz val="16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9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5" fontId="2" fillId="0" borderId="0" xfId="0" applyNumberFormat="1" applyFont="1"/>
    <xf numFmtId="0" fontId="0" fillId="0" borderId="1" xfId="0" applyBorder="1"/>
    <xf numFmtId="5" fontId="0" fillId="0" borderId="0" xfId="0" applyNumberFormat="1"/>
    <xf numFmtId="5" fontId="0" fillId="0" borderId="1" xfId="0" applyNumberForma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5" fontId="6" fillId="0" borderId="0" xfId="0" applyNumberFormat="1" applyFont="1"/>
    <xf numFmtId="0" fontId="6" fillId="0" borderId="0" xfId="0" applyFont="1"/>
    <xf numFmtId="0" fontId="7" fillId="0" borderId="1" xfId="0" applyFont="1" applyBorder="1"/>
    <xf numFmtId="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5" fontId="5" fillId="0" borderId="0" xfId="0" applyNumberFormat="1" applyFont="1" applyAlignment="1">
      <alignment horizontal="center"/>
    </xf>
    <xf numFmtId="5" fontId="5" fillId="0" borderId="1" xfId="0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0" zoomScaleNormal="100" zoomScaleSheetLayoutView="115" workbookViewId="0">
      <selection activeCell="A20" sqref="A20"/>
    </sheetView>
  </sheetViews>
  <sheetFormatPr defaultRowHeight="13.5" x14ac:dyDescent="0.15"/>
  <cols>
    <col min="1" max="1" width="11.75" bestFit="1" customWidth="1"/>
    <col min="3" max="4" width="10.25" bestFit="1" customWidth="1"/>
    <col min="5" max="5" width="1.75" customWidth="1"/>
    <col min="6" max="6" width="12.125" customWidth="1"/>
    <col min="7" max="7" width="13" bestFit="1" customWidth="1"/>
    <col min="8" max="9" width="10.25" bestFit="1" customWidth="1"/>
  </cols>
  <sheetData>
    <row r="1" spans="1:9" x14ac:dyDescent="0.15">
      <c r="A1" s="1" t="s">
        <v>17</v>
      </c>
      <c r="F1" s="1"/>
    </row>
    <row r="2" spans="1:9" x14ac:dyDescent="0.15">
      <c r="A2" s="1" t="s">
        <v>18</v>
      </c>
      <c r="F2" s="1"/>
    </row>
    <row r="3" spans="1:9" x14ac:dyDescent="0.15">
      <c r="A3" s="1" t="s">
        <v>19</v>
      </c>
      <c r="F3" s="1"/>
    </row>
    <row r="4" spans="1:9" x14ac:dyDescent="0.15">
      <c r="A4" s="1"/>
    </row>
    <row r="5" spans="1:9" x14ac:dyDescent="0.15">
      <c r="A5" s="1"/>
      <c r="F5" s="1"/>
    </row>
    <row r="6" spans="1:9" x14ac:dyDescent="0.15">
      <c r="B6" s="4"/>
      <c r="D6" s="4"/>
      <c r="G6" s="4"/>
      <c r="I6" s="4"/>
    </row>
    <row r="7" spans="1:9" x14ac:dyDescent="0.15">
      <c r="B7" s="4"/>
      <c r="D7" s="4"/>
      <c r="G7" s="4"/>
      <c r="I7" s="4"/>
    </row>
    <row r="8" spans="1:9" x14ac:dyDescent="0.15">
      <c r="B8" s="4"/>
      <c r="D8" s="4"/>
      <c r="G8" s="4"/>
      <c r="I8" s="4"/>
    </row>
    <row r="9" spans="1:9" x14ac:dyDescent="0.15">
      <c r="A9" s="3"/>
      <c r="B9" s="5"/>
      <c r="C9" s="3"/>
      <c r="D9" s="5"/>
      <c r="F9" s="3"/>
      <c r="G9" s="5"/>
      <c r="H9" s="3"/>
      <c r="I9" s="5"/>
    </row>
    <row r="10" spans="1:9" x14ac:dyDescent="0.15">
      <c r="D10" s="2"/>
      <c r="I10" s="2"/>
    </row>
    <row r="11" spans="1:9" x14ac:dyDescent="0.15">
      <c r="I11" s="14"/>
    </row>
    <row r="12" spans="1:9" x14ac:dyDescent="0.15">
      <c r="A12" s="1"/>
      <c r="F12" s="1"/>
    </row>
    <row r="13" spans="1:9" x14ac:dyDescent="0.15">
      <c r="B13" s="4"/>
      <c r="D13" s="4"/>
      <c r="G13" s="4"/>
      <c r="I13" s="4"/>
    </row>
    <row r="14" spans="1:9" x14ac:dyDescent="0.15">
      <c r="B14" s="4"/>
      <c r="D14" s="4"/>
      <c r="G14" s="4"/>
      <c r="I14" s="4"/>
    </row>
    <row r="15" spans="1:9" x14ac:dyDescent="0.15">
      <c r="B15" s="4"/>
      <c r="D15" s="4"/>
      <c r="G15" s="4"/>
      <c r="I15" s="4"/>
    </row>
    <row r="16" spans="1:9" x14ac:dyDescent="0.15">
      <c r="B16" s="4"/>
      <c r="D16" s="4"/>
      <c r="F16" s="10"/>
      <c r="G16" s="9"/>
      <c r="H16" s="10"/>
      <c r="I16" s="9"/>
    </row>
    <row r="17" spans="1:9" x14ac:dyDescent="0.15">
      <c r="A17" s="3"/>
      <c r="B17" s="5"/>
      <c r="C17" s="3"/>
      <c r="D17" s="5"/>
      <c r="F17" s="3"/>
      <c r="G17" s="5"/>
      <c r="H17" s="3"/>
      <c r="I17" s="5"/>
    </row>
    <row r="18" spans="1:9" x14ac:dyDescent="0.15">
      <c r="D18" s="2"/>
      <c r="I18" s="2"/>
    </row>
    <row r="19" spans="1:9" x14ac:dyDescent="0.15">
      <c r="A19" t="s">
        <v>20</v>
      </c>
      <c r="I19" s="14" t="s">
        <v>16</v>
      </c>
    </row>
    <row r="20" spans="1:9" x14ac:dyDescent="0.15">
      <c r="A20" s="1" t="s">
        <v>9</v>
      </c>
      <c r="B20" t="s">
        <v>7</v>
      </c>
      <c r="C20" t="s">
        <v>10</v>
      </c>
      <c r="D20" t="s">
        <v>8</v>
      </c>
      <c r="F20" s="1" t="s">
        <v>9</v>
      </c>
      <c r="G20" t="s">
        <v>7</v>
      </c>
      <c r="H20" t="s">
        <v>10</v>
      </c>
      <c r="I20" t="s">
        <v>8</v>
      </c>
    </row>
    <row r="21" spans="1:9" x14ac:dyDescent="0.15">
      <c r="A21" s="6" t="s">
        <v>11</v>
      </c>
      <c r="B21" s="4">
        <v>0</v>
      </c>
      <c r="C21">
        <v>20</v>
      </c>
      <c r="D21" s="4">
        <f>B21*C21</f>
        <v>0</v>
      </c>
      <c r="F21" s="6" t="s">
        <v>11</v>
      </c>
      <c r="G21" s="4">
        <v>0</v>
      </c>
      <c r="H21">
        <v>20</v>
      </c>
      <c r="I21" s="4">
        <f>G21*H21</f>
        <v>0</v>
      </c>
    </row>
    <row r="22" spans="1:9" x14ac:dyDescent="0.15">
      <c r="A22" s="6" t="s">
        <v>12</v>
      </c>
      <c r="B22" s="4">
        <v>0</v>
      </c>
      <c r="C22">
        <v>2</v>
      </c>
      <c r="D22" s="4">
        <f t="shared" ref="D22:D24" si="0">B22*C22</f>
        <v>0</v>
      </c>
      <c r="F22" s="6" t="s">
        <v>12</v>
      </c>
      <c r="G22" s="4">
        <v>0</v>
      </c>
      <c r="H22">
        <v>2</v>
      </c>
      <c r="I22" s="4">
        <f t="shared" ref="I22:I24" si="1">G22*H22</f>
        <v>0</v>
      </c>
    </row>
    <row r="23" spans="1:9" x14ac:dyDescent="0.15">
      <c r="A23" s="6" t="s">
        <v>13</v>
      </c>
      <c r="B23" s="4">
        <v>500</v>
      </c>
      <c r="C23">
        <v>21</v>
      </c>
      <c r="D23" s="4">
        <f t="shared" si="0"/>
        <v>10500</v>
      </c>
      <c r="F23" s="6" t="s">
        <v>13</v>
      </c>
      <c r="G23" s="4">
        <v>500</v>
      </c>
      <c r="H23">
        <v>21</v>
      </c>
      <c r="I23" s="4">
        <f t="shared" si="1"/>
        <v>10500</v>
      </c>
    </row>
    <row r="24" spans="1:9" x14ac:dyDescent="0.15">
      <c r="A24" s="7" t="s">
        <v>14</v>
      </c>
      <c r="B24" s="5">
        <v>500</v>
      </c>
      <c r="C24" s="3">
        <v>21</v>
      </c>
      <c r="D24" s="5">
        <f t="shared" si="0"/>
        <v>10500</v>
      </c>
      <c r="F24" s="11" t="s">
        <v>14</v>
      </c>
      <c r="G24" s="12">
        <v>1000</v>
      </c>
      <c r="H24" s="13">
        <v>21</v>
      </c>
      <c r="I24" s="12">
        <f t="shared" si="1"/>
        <v>21000</v>
      </c>
    </row>
    <row r="25" spans="1:9" x14ac:dyDescent="0.15">
      <c r="B25" s="4"/>
      <c r="D25" s="2">
        <f>SUM(D21:D24)</f>
        <v>21000</v>
      </c>
      <c r="G25" s="4"/>
      <c r="I25" s="2">
        <f>SUM(I21:I24)</f>
        <v>31500</v>
      </c>
    </row>
    <row r="26" spans="1:9" x14ac:dyDescent="0.15">
      <c r="B26" s="4"/>
      <c r="G26" s="4"/>
    </row>
    <row r="27" spans="1:9" x14ac:dyDescent="0.15">
      <c r="B27" s="1" t="s">
        <v>0</v>
      </c>
      <c r="G27" s="1" t="s">
        <v>0</v>
      </c>
    </row>
    <row r="28" spans="1:9" x14ac:dyDescent="0.15">
      <c r="C28" t="s">
        <v>1</v>
      </c>
      <c r="D28" s="4">
        <v>40000</v>
      </c>
      <c r="H28" t="s">
        <v>1</v>
      </c>
      <c r="I28" s="4">
        <v>40000</v>
      </c>
    </row>
    <row r="29" spans="1:9" x14ac:dyDescent="0.15">
      <c r="B29" s="3"/>
      <c r="C29" s="8" t="s">
        <v>2</v>
      </c>
      <c r="D29" s="5">
        <v>50000</v>
      </c>
      <c r="G29" s="3"/>
      <c r="H29" s="8" t="s">
        <v>2</v>
      </c>
      <c r="I29" s="5">
        <v>50000</v>
      </c>
    </row>
    <row r="30" spans="1:9" x14ac:dyDescent="0.15">
      <c r="C30" t="s">
        <v>3</v>
      </c>
      <c r="D30" s="2">
        <f>D28+D29</f>
        <v>90000</v>
      </c>
      <c r="H30" t="s">
        <v>3</v>
      </c>
      <c r="I30" s="2">
        <f>I28+I29</f>
        <v>90000</v>
      </c>
    </row>
    <row r="32" spans="1:9" x14ac:dyDescent="0.15">
      <c r="B32" s="1" t="s">
        <v>4</v>
      </c>
      <c r="G32" s="1" t="s">
        <v>4</v>
      </c>
    </row>
    <row r="33" spans="2:9" x14ac:dyDescent="0.15">
      <c r="C33" t="s">
        <v>5</v>
      </c>
      <c r="D33" s="4">
        <f>D10+D18</f>
        <v>0</v>
      </c>
      <c r="H33" t="s">
        <v>5</v>
      </c>
      <c r="I33" s="4">
        <f>I10+I18</f>
        <v>0</v>
      </c>
    </row>
    <row r="34" spans="2:9" x14ac:dyDescent="0.15">
      <c r="B34" s="3"/>
      <c r="C34" s="3" t="s">
        <v>6</v>
      </c>
      <c r="D34" s="5">
        <f>D25</f>
        <v>21000</v>
      </c>
      <c r="G34" s="3"/>
      <c r="H34" s="3" t="s">
        <v>6</v>
      </c>
      <c r="I34" s="5">
        <f>I25</f>
        <v>31500</v>
      </c>
    </row>
    <row r="35" spans="2:9" x14ac:dyDescent="0.15">
      <c r="C35" t="s">
        <v>3</v>
      </c>
      <c r="D35" s="2">
        <f>SUM(D33:D34)</f>
        <v>21000</v>
      </c>
      <c r="H35" t="s">
        <v>3</v>
      </c>
      <c r="I35" s="2">
        <f>SUM(I33:I34)</f>
        <v>31500</v>
      </c>
    </row>
    <row r="37" spans="2:9" ht="13.5" customHeight="1" x14ac:dyDescent="0.15">
      <c r="B37" s="15" t="s">
        <v>15</v>
      </c>
      <c r="C37" s="17">
        <f>D30-D35</f>
        <v>69000</v>
      </c>
      <c r="D37" s="17"/>
      <c r="G37" s="15" t="s">
        <v>15</v>
      </c>
      <c r="H37" s="17">
        <f>I30-I35</f>
        <v>58500</v>
      </c>
      <c r="I37" s="17"/>
    </row>
    <row r="38" spans="2:9" ht="13.5" customHeight="1" x14ac:dyDescent="0.15">
      <c r="B38" s="16"/>
      <c r="C38" s="18"/>
      <c r="D38" s="18"/>
      <c r="G38" s="16"/>
      <c r="H38" s="18"/>
      <c r="I38" s="18"/>
    </row>
  </sheetData>
  <mergeCells count="4">
    <mergeCell ref="B37:B38"/>
    <mergeCell ref="C37:D38"/>
    <mergeCell ref="G37:G38"/>
    <mergeCell ref="H37:I38"/>
  </mergeCells>
  <phoneticPr fontId="1"/>
  <pageMargins left="0.7" right="0.7" top="0.75" bottom="0.75" header="0.3" footer="0.3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3C9A-084F-4DE6-8448-B23E239E52BC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予算案</vt:lpstr>
      <vt:lpstr>実績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2026-08-06T07:45:20Z</dcterms:modified>
</cp:coreProperties>
</file>