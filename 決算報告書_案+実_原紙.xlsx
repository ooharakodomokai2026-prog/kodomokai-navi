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マイドライブ\大原町子ども会_共有フォルダ\03_年間行事（イベント）\00‗年間行事報告\"/>
    </mc:Choice>
  </mc:AlternateContent>
  <xr:revisionPtr revIDLastSave="0" documentId="13_ncr:1_{4D4A7DE0-BE51-4072-9539-1EFD425C86B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記入例_案" sheetId="4" r:id="rId1"/>
    <sheet name="記入例_実績" sheetId="5" r:id="rId2"/>
    <sheet name="案" sheetId="10" r:id="rId3"/>
    <sheet name="実績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1" l="1"/>
  <c r="B46" i="11"/>
  <c r="B46" i="10"/>
  <c r="D46" i="10" l="1"/>
  <c r="D44" i="5" l="1"/>
  <c r="B44" i="5"/>
  <c r="D44" i="4"/>
  <c r="D46" i="4" s="1"/>
  <c r="B44" i="4"/>
</calcChain>
</file>

<file path=xl/sharedStrings.xml><?xml version="1.0" encoding="utf-8"?>
<sst xmlns="http://schemas.openxmlformats.org/spreadsheetml/2006/main" count="230" uniqueCount="102">
  <si>
    <t>項目</t>
    <rPh sb="0" eb="2">
      <t>コウモク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</si>
  <si>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</si>
  <si>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</si>
  <si>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収支内訳</t>
    <rPh sb="0" eb="2">
      <t>シュウシ</t>
    </rPh>
    <rPh sb="2" eb="4">
      <t>ウチワケ</t>
    </rPh>
    <phoneticPr fontId="2"/>
  </si>
  <si>
    <t>支出内訳</t>
    <rPh sb="0" eb="2">
      <t>シシュツ</t>
    </rPh>
    <rPh sb="2" eb="4">
      <t>ウチワケ</t>
    </rPh>
    <phoneticPr fontId="2"/>
  </si>
  <si>
    <t>2018年4月1日～2019年３月31日</t>
    <rPh sb="4" eb="5">
      <t>ネン</t>
    </rPh>
    <rPh sb="6" eb="7">
      <t>ガツ</t>
    </rPh>
    <rPh sb="8" eb="9">
      <t>ニチ</t>
    </rPh>
    <rPh sb="14" eb="15">
      <t>ネン</t>
    </rPh>
    <rPh sb="16" eb="17">
      <t>ガツ</t>
    </rPh>
    <rPh sb="19" eb="20">
      <t>ニチ</t>
    </rPh>
    <phoneticPr fontId="2"/>
  </si>
  <si>
    <t>(単価：円)</t>
    <rPh sb="1" eb="3">
      <t>タンカ</t>
    </rPh>
    <rPh sb="4" eb="5">
      <t>エン</t>
    </rPh>
    <phoneticPr fontId="2"/>
  </si>
  <si>
    <t>会費</t>
    <rPh sb="0" eb="2">
      <t>カイヒ</t>
    </rPh>
    <phoneticPr fontId="2"/>
  </si>
  <si>
    <t>お楽しみ会</t>
    <rPh sb="1" eb="2">
      <t>タノ</t>
    </rPh>
    <rPh sb="4" eb="5">
      <t>カイ</t>
    </rPh>
    <phoneticPr fontId="2"/>
  </si>
  <si>
    <t>助成金</t>
    <rPh sb="0" eb="3">
      <t>ジョセイキン</t>
    </rPh>
    <phoneticPr fontId="2"/>
  </si>
  <si>
    <t>町内会より</t>
    <rPh sb="0" eb="2">
      <t>チョウナイ</t>
    </rPh>
    <rPh sb="2" eb="3">
      <t>カイ</t>
    </rPh>
    <phoneticPr fontId="2"/>
  </si>
  <si>
    <t>青崎学区球技大会</t>
    <rPh sb="0" eb="2">
      <t>アオサキ</t>
    </rPh>
    <rPh sb="2" eb="4">
      <t>ガック</t>
    </rPh>
    <rPh sb="4" eb="6">
      <t>キュウギ</t>
    </rPh>
    <rPh sb="6" eb="8">
      <t>タイカイ</t>
    </rPh>
    <phoneticPr fontId="2"/>
  </si>
  <si>
    <t>ラジオ体操</t>
    <rPh sb="3" eb="5">
      <t>タイソウ</t>
    </rPh>
    <phoneticPr fontId="2"/>
  </si>
  <si>
    <t>お菓子他</t>
    <rPh sb="1" eb="3">
      <t>カシ</t>
    </rPh>
    <rPh sb="3" eb="4">
      <t>ホカ</t>
    </rPh>
    <phoneticPr fontId="2"/>
  </si>
  <si>
    <t>お弁当・謝礼他</t>
    <rPh sb="1" eb="3">
      <t>ベントウ</t>
    </rPh>
    <rPh sb="4" eb="6">
      <t>シャレイ</t>
    </rPh>
    <rPh sb="6" eb="7">
      <t>ホカ</t>
    </rPh>
    <phoneticPr fontId="2"/>
  </si>
  <si>
    <t>盆踊り</t>
    <rPh sb="0" eb="2">
      <t>ボンオド</t>
    </rPh>
    <phoneticPr fontId="2"/>
  </si>
  <si>
    <t>町内会より費用として</t>
    <rPh sb="0" eb="2">
      <t>チョウナイ</t>
    </rPh>
    <rPh sb="2" eb="3">
      <t>カイ</t>
    </rPh>
    <rPh sb="5" eb="7">
      <t>ヒヨウ</t>
    </rPh>
    <phoneticPr fontId="2"/>
  </si>
  <si>
    <t>南区夏季球技大会</t>
    <rPh sb="0" eb="2">
      <t>ミナミク</t>
    </rPh>
    <rPh sb="2" eb="4">
      <t>カキ</t>
    </rPh>
    <rPh sb="4" eb="6">
      <t>キュウギ</t>
    </rPh>
    <rPh sb="6" eb="8">
      <t>タイカイ</t>
    </rPh>
    <phoneticPr fontId="2"/>
  </si>
  <si>
    <t>お弁当代</t>
    <rPh sb="1" eb="3">
      <t>ベントウ</t>
    </rPh>
    <rPh sb="3" eb="4">
      <t>ダイ</t>
    </rPh>
    <phoneticPr fontId="2"/>
  </si>
  <si>
    <t>リーダー研修</t>
    <rPh sb="4" eb="6">
      <t>ケンシュウ</t>
    </rPh>
    <phoneticPr fontId="2"/>
  </si>
  <si>
    <t>秋祭り</t>
    <rPh sb="0" eb="2">
      <t>アキマツ</t>
    </rPh>
    <phoneticPr fontId="2"/>
  </si>
  <si>
    <t>お土産用お菓子</t>
    <rPh sb="1" eb="4">
      <t>ミヤゲヨウ</t>
    </rPh>
    <rPh sb="5" eb="7">
      <t>カシ</t>
    </rPh>
    <phoneticPr fontId="2"/>
  </si>
  <si>
    <t>クリスマス</t>
    <phoneticPr fontId="2"/>
  </si>
  <si>
    <t>　　　　　　印</t>
    <rPh sb="6" eb="7">
      <t>イン</t>
    </rPh>
    <phoneticPr fontId="2"/>
  </si>
  <si>
    <t>　上記の通り相違いありません</t>
    <rPh sb="1" eb="3">
      <t>ジョウキ</t>
    </rPh>
    <rPh sb="4" eb="5">
      <t>トオ</t>
    </rPh>
    <rPh sb="6" eb="7">
      <t>アイ</t>
    </rPh>
    <rPh sb="7" eb="8">
      <t>チガ</t>
    </rPh>
    <phoneticPr fontId="2"/>
  </si>
  <si>
    <t>2018年度合計</t>
    <rPh sb="4" eb="6">
      <t>ネンド</t>
    </rPh>
    <rPh sb="6" eb="8">
      <t>ゴウケイ</t>
    </rPh>
    <phoneticPr fontId="2"/>
  </si>
  <si>
    <t>2019年度繰越金</t>
    <rPh sb="4" eb="6">
      <t>ネンド</t>
    </rPh>
    <rPh sb="6" eb="8">
      <t>クリコシ</t>
    </rPh>
    <rPh sb="8" eb="9">
      <t>キン</t>
    </rPh>
    <phoneticPr fontId="2"/>
  </si>
  <si>
    <t>合　　　計</t>
    <rPh sb="0" eb="1">
      <t>ゴウ</t>
    </rPh>
    <rPh sb="4" eb="5">
      <t>ケイ</t>
    </rPh>
    <phoneticPr fontId="2"/>
  </si>
  <si>
    <t>年会費　25,000円</t>
    <rPh sb="0" eb="3">
      <t>ネンカイヒ</t>
    </rPh>
    <rPh sb="10" eb="11">
      <t>エン</t>
    </rPh>
    <phoneticPr fontId="2"/>
  </si>
  <si>
    <t>　（1000円×25人　</t>
    <rPh sb="6" eb="7">
      <t>エン</t>
    </rPh>
    <rPh sb="10" eb="11">
      <t>ニン</t>
    </rPh>
    <phoneticPr fontId="2"/>
  </si>
  <si>
    <t>安全会費　440円</t>
    <rPh sb="0" eb="2">
      <t>アンゼン</t>
    </rPh>
    <rPh sb="2" eb="4">
      <t>カイヒ</t>
    </rPh>
    <rPh sb="8" eb="9">
      <t>エン</t>
    </rPh>
    <phoneticPr fontId="2"/>
  </si>
  <si>
    <t>安全会費　6,720円</t>
    <rPh sb="0" eb="2">
      <t>アンゼン</t>
    </rPh>
    <rPh sb="2" eb="4">
      <t>カイヒ</t>
    </rPh>
    <rPh sb="10" eb="11">
      <t>エン</t>
    </rPh>
    <phoneticPr fontId="2"/>
  </si>
  <si>
    <t>　（150円×42人　140円×3人</t>
    <rPh sb="5" eb="6">
      <t>エン</t>
    </rPh>
    <rPh sb="9" eb="10">
      <t>ニン</t>
    </rPh>
    <rPh sb="14" eb="15">
      <t>エン</t>
    </rPh>
    <rPh sb="17" eb="18">
      <t>ニン</t>
    </rPh>
    <phoneticPr fontId="2"/>
  </si>
  <si>
    <t>　（150円×幼児1･保護者1人　</t>
    <rPh sb="5" eb="6">
      <t>エン</t>
    </rPh>
    <rPh sb="7" eb="9">
      <t>ヨウジ</t>
    </rPh>
    <rPh sb="11" eb="14">
      <t>ホゴシャ</t>
    </rPh>
    <rPh sb="15" eb="16">
      <t>ニン</t>
    </rPh>
    <phoneticPr fontId="2"/>
  </si>
  <si>
    <t>　（140円×幼児1人　　　　</t>
    <rPh sb="5" eb="6">
      <t>エン</t>
    </rPh>
    <rPh sb="7" eb="9">
      <t>ヨウジ</t>
    </rPh>
    <rPh sb="10" eb="11">
      <t>ニン</t>
    </rPh>
    <phoneticPr fontId="2"/>
  </si>
  <si>
    <t>町内会より新1年生入学祝</t>
    <rPh sb="0" eb="2">
      <t>チョウナイ</t>
    </rPh>
    <rPh sb="2" eb="3">
      <t>カイ</t>
    </rPh>
    <rPh sb="5" eb="6">
      <t>シン</t>
    </rPh>
    <rPh sb="7" eb="9">
      <t>ネンセイ</t>
    </rPh>
    <rPh sb="9" eb="11">
      <t>ニュウガク</t>
    </rPh>
    <rPh sb="11" eb="12">
      <t>イワ</t>
    </rPh>
    <phoneticPr fontId="2"/>
  </si>
  <si>
    <t>　（折り畳み傘×10名）7,560円</t>
    <rPh sb="2" eb="3">
      <t>オ</t>
    </rPh>
    <rPh sb="4" eb="5">
      <t>タタ</t>
    </rPh>
    <rPh sb="6" eb="7">
      <t>ガサ</t>
    </rPh>
    <rPh sb="10" eb="11">
      <t>ナ</t>
    </rPh>
    <rPh sb="17" eb="18">
      <t>エン</t>
    </rPh>
    <phoneticPr fontId="2"/>
  </si>
  <si>
    <t>お菓子　　　　　　16,070円</t>
    <rPh sb="1" eb="3">
      <t>カシ</t>
    </rPh>
    <rPh sb="15" eb="16">
      <t>エン</t>
    </rPh>
    <phoneticPr fontId="2"/>
  </si>
  <si>
    <t>ポスター作製費　　 　800円</t>
    <rPh sb="4" eb="6">
      <t>サクセイ</t>
    </rPh>
    <rPh sb="6" eb="7">
      <t>ヒ</t>
    </rPh>
    <rPh sb="14" eb="15">
      <t>エン</t>
    </rPh>
    <phoneticPr fontId="2"/>
  </si>
  <si>
    <t>光るブレスレット  　4,860円</t>
    <rPh sb="0" eb="1">
      <t>ヒカ</t>
    </rPh>
    <rPh sb="16" eb="17">
      <t>エン</t>
    </rPh>
    <phoneticPr fontId="2"/>
  </si>
  <si>
    <t>軽食・お菓子　　　　  13,392円</t>
    <rPh sb="0" eb="2">
      <t>ケイショク</t>
    </rPh>
    <rPh sb="4" eb="6">
      <t>カシ</t>
    </rPh>
    <rPh sb="18" eb="19">
      <t>エン</t>
    </rPh>
    <phoneticPr fontId="2"/>
  </si>
  <si>
    <t>　ポスター作製費　　 　800円</t>
    <rPh sb="5" eb="7">
      <t>サクセイ</t>
    </rPh>
    <rPh sb="7" eb="8">
      <t>ヒ</t>
    </rPh>
    <rPh sb="15" eb="16">
      <t>エン</t>
    </rPh>
    <phoneticPr fontId="2"/>
  </si>
  <si>
    <t>　お菓子　　　　　　16,070円</t>
    <rPh sb="2" eb="4">
      <t>カシ</t>
    </rPh>
    <rPh sb="16" eb="17">
      <t>エン</t>
    </rPh>
    <phoneticPr fontId="2"/>
  </si>
  <si>
    <t>　光るブレスレット  　4,860円</t>
    <rPh sb="1" eb="2">
      <t>ヒカ</t>
    </rPh>
    <rPh sb="17" eb="18">
      <t>エン</t>
    </rPh>
    <phoneticPr fontId="2"/>
  </si>
  <si>
    <t>お弁当代1名　400円</t>
    <rPh sb="1" eb="3">
      <t>ベントウ</t>
    </rPh>
    <rPh sb="3" eb="4">
      <t>ダイ</t>
    </rPh>
    <rPh sb="5" eb="6">
      <t>メイ</t>
    </rPh>
    <rPh sb="10" eb="11">
      <t>エン</t>
    </rPh>
    <phoneticPr fontId="2"/>
  </si>
  <si>
    <t>　（500円×24名</t>
    <rPh sb="5" eb="6">
      <t>エン</t>
    </rPh>
    <rPh sb="9" eb="10">
      <t>ナ</t>
    </rPh>
    <phoneticPr fontId="2"/>
  </si>
  <si>
    <t>図書カード　12,000円</t>
    <rPh sb="0" eb="2">
      <t>トショ</t>
    </rPh>
    <rPh sb="12" eb="13">
      <t>エン</t>
    </rPh>
    <phoneticPr fontId="2"/>
  </si>
  <si>
    <t>お菓子　　　  8,922円</t>
    <rPh sb="1" eb="3">
      <t>カシ</t>
    </rPh>
    <rPh sb="13" eb="14">
      <t>エン</t>
    </rPh>
    <phoneticPr fontId="2"/>
  </si>
  <si>
    <t>青崎学区コミュニティ</t>
    <rPh sb="0" eb="2">
      <t>アオサキ</t>
    </rPh>
    <rPh sb="2" eb="4">
      <t>ガック</t>
    </rPh>
    <phoneticPr fontId="2"/>
  </si>
  <si>
    <t>　（3500円×2名</t>
    <rPh sb="6" eb="7">
      <t>エン</t>
    </rPh>
    <rPh sb="9" eb="10">
      <t>メイ</t>
    </rPh>
    <phoneticPr fontId="2"/>
  </si>
  <si>
    <t>コミュニティ　7,000円</t>
    <rPh sb="12" eb="13">
      <t>エン</t>
    </rPh>
    <phoneticPr fontId="2"/>
  </si>
  <si>
    <t>　（2000円×2名</t>
    <rPh sb="6" eb="7">
      <t>エン</t>
    </rPh>
    <rPh sb="9" eb="10">
      <t>メイ</t>
    </rPh>
    <phoneticPr fontId="2"/>
  </si>
  <si>
    <t>　（500円×2名</t>
    <phoneticPr fontId="2"/>
  </si>
  <si>
    <t>町内会より　4,000円</t>
    <rPh sb="0" eb="2">
      <t>チョウナイ</t>
    </rPh>
    <rPh sb="2" eb="3">
      <t>カイ</t>
    </rPh>
    <rPh sb="11" eb="12">
      <t>エン</t>
    </rPh>
    <phoneticPr fontId="2"/>
  </si>
  <si>
    <t>個人負担　1,000円</t>
    <rPh sb="0" eb="2">
      <t>コジン</t>
    </rPh>
    <rPh sb="2" eb="4">
      <t>フタン</t>
    </rPh>
    <rPh sb="10" eb="11">
      <t>エン</t>
    </rPh>
    <phoneticPr fontId="2"/>
  </si>
  <si>
    <t>有志よりご寄付　5,000円</t>
    <rPh sb="0" eb="2">
      <t>ユウシ</t>
    </rPh>
    <rPh sb="5" eb="7">
      <t>キフ</t>
    </rPh>
    <rPh sb="13" eb="14">
      <t>エン</t>
    </rPh>
    <phoneticPr fontId="2"/>
  </si>
  <si>
    <t>町内会よりお菓子費用　12,491円</t>
    <rPh sb="0" eb="2">
      <t>チョウナイ</t>
    </rPh>
    <rPh sb="2" eb="3">
      <t>カイ</t>
    </rPh>
    <rPh sb="6" eb="8">
      <t>カシ</t>
    </rPh>
    <rPh sb="8" eb="10">
      <t>ヒヨウ</t>
    </rPh>
    <rPh sb="17" eb="18">
      <t>エン</t>
    </rPh>
    <phoneticPr fontId="2"/>
  </si>
  <si>
    <t>　（200円×25人</t>
    <rPh sb="5" eb="6">
      <t>エン</t>
    </rPh>
    <rPh sb="9" eb="10">
      <t>ニン</t>
    </rPh>
    <phoneticPr fontId="2"/>
  </si>
  <si>
    <t>育成会費　5,000円</t>
    <rPh sb="0" eb="2">
      <t>イクセイ</t>
    </rPh>
    <rPh sb="2" eb="4">
      <t>カイヒ</t>
    </rPh>
    <rPh sb="10" eb="11">
      <t>エン</t>
    </rPh>
    <phoneticPr fontId="2"/>
  </si>
  <si>
    <t>有志よりご寄付 　　　10,000円</t>
    <rPh sb="0" eb="2">
      <t>ユウシ</t>
    </rPh>
    <rPh sb="5" eb="7">
      <t>キフ</t>
    </rPh>
    <rPh sb="17" eb="18">
      <t>エン</t>
    </rPh>
    <phoneticPr fontId="2"/>
  </si>
  <si>
    <t>立替分他　　2,943円</t>
    <rPh sb="0" eb="2">
      <t>タテカエ</t>
    </rPh>
    <rPh sb="2" eb="3">
      <t>ブン</t>
    </rPh>
    <rPh sb="3" eb="4">
      <t>ホカ</t>
    </rPh>
    <rPh sb="11" eb="12">
      <t>エン</t>
    </rPh>
    <phoneticPr fontId="2"/>
  </si>
  <si>
    <t>お別れ会　</t>
    <rPh sb="1" eb="2">
      <t>ワカ</t>
    </rPh>
    <rPh sb="3" eb="4">
      <t>カイ</t>
    </rPh>
    <phoneticPr fontId="2"/>
  </si>
  <si>
    <t>　(進級祝い)</t>
    <rPh sb="2" eb="4">
      <t>シンキュウ</t>
    </rPh>
    <rPh sb="4" eb="5">
      <t>イワ</t>
    </rPh>
    <phoneticPr fontId="2"/>
  </si>
  <si>
    <t>冬季スポーツ大会</t>
    <rPh sb="0" eb="2">
      <t>トウキ</t>
    </rPh>
    <rPh sb="6" eb="8">
      <t>タイカイ</t>
    </rPh>
    <phoneticPr fontId="2"/>
  </si>
  <si>
    <t>昼食代</t>
    <rPh sb="0" eb="3">
      <t>チュウショクダイ</t>
    </rPh>
    <phoneticPr fontId="2"/>
  </si>
  <si>
    <t>図書カード　1名</t>
    <rPh sb="0" eb="2">
      <t>トショ</t>
    </rPh>
    <rPh sb="7" eb="8">
      <t>ナ</t>
    </rPh>
    <phoneticPr fontId="2"/>
  </si>
  <si>
    <t>ビンゴ景品　15,448円</t>
    <rPh sb="3" eb="5">
      <t>ケイヒン</t>
    </rPh>
    <rPh sb="12" eb="13">
      <t>エン</t>
    </rPh>
    <phoneticPr fontId="2"/>
  </si>
  <si>
    <t>ゲーム用お菓子　1,425</t>
    <rPh sb="3" eb="4">
      <t>ヨウ</t>
    </rPh>
    <rPh sb="5" eb="7">
      <t>カシ</t>
    </rPh>
    <phoneticPr fontId="2"/>
  </si>
  <si>
    <t>昼食代　12,400</t>
    <rPh sb="0" eb="2">
      <t>チュウショク</t>
    </rPh>
    <rPh sb="2" eb="3">
      <t>ダイ</t>
    </rPh>
    <phoneticPr fontId="2"/>
  </si>
  <si>
    <t>おやつ　1,547</t>
    <phoneticPr fontId="2"/>
  </si>
  <si>
    <t>個人負担分</t>
    <rPh sb="0" eb="2">
      <t>コジン</t>
    </rPh>
    <rPh sb="2" eb="5">
      <t>フタンブン</t>
    </rPh>
    <phoneticPr fontId="2"/>
  </si>
  <si>
    <t>消耗品代</t>
    <rPh sb="0" eb="3">
      <t>ショウモウヒン</t>
    </rPh>
    <rPh sb="3" eb="4">
      <t>ダイ</t>
    </rPh>
    <phoneticPr fontId="2"/>
  </si>
  <si>
    <t>雑費</t>
    <rPh sb="0" eb="2">
      <t>ザッピ</t>
    </rPh>
    <phoneticPr fontId="2"/>
  </si>
  <si>
    <t>利息</t>
    <rPh sb="0" eb="2">
      <t>リソク</t>
    </rPh>
    <phoneticPr fontId="2"/>
  </si>
  <si>
    <t>2019年度　向洋大原町子ども会収支予算(案)</t>
    <rPh sb="4" eb="6">
      <t>ネンド</t>
    </rPh>
    <rPh sb="7" eb="9">
      <t>ムカイナダ</t>
    </rPh>
    <rPh sb="9" eb="12">
      <t>オオハラチョウ</t>
    </rPh>
    <rPh sb="12" eb="13">
      <t>コ</t>
    </rPh>
    <rPh sb="15" eb="16">
      <t>カイ</t>
    </rPh>
    <rPh sb="16" eb="18">
      <t>シュウシ</t>
    </rPh>
    <rPh sb="18" eb="20">
      <t>ヨサン</t>
    </rPh>
    <rPh sb="21" eb="22">
      <t>アン</t>
    </rPh>
    <phoneticPr fontId="2"/>
  </si>
  <si>
    <t>2019年4月1日～2020年３月31日</t>
    <rPh sb="4" eb="5">
      <t>ネン</t>
    </rPh>
    <rPh sb="6" eb="7">
      <t>ガツ</t>
    </rPh>
    <rPh sb="8" eb="9">
      <t>ニチ</t>
    </rPh>
    <rPh sb="14" eb="15">
      <t>ネン</t>
    </rPh>
    <rPh sb="16" eb="17">
      <t>ガツ</t>
    </rPh>
    <rPh sb="19" eb="20">
      <t>ニチ</t>
    </rPh>
    <phoneticPr fontId="2"/>
  </si>
  <si>
    <t xml:space="preserve">軽食・お菓子他　　　　  </t>
    <rPh sb="0" eb="2">
      <t>ケイショク</t>
    </rPh>
    <rPh sb="4" eb="6">
      <t>カシ</t>
    </rPh>
    <rPh sb="6" eb="7">
      <t>ホカ</t>
    </rPh>
    <phoneticPr fontId="2"/>
  </si>
  <si>
    <t>　光るブレスレット  　5,000円</t>
    <rPh sb="1" eb="2">
      <t>ヒカ</t>
    </rPh>
    <rPh sb="17" eb="18">
      <t>エン</t>
    </rPh>
    <phoneticPr fontId="2"/>
  </si>
  <si>
    <t>　お菓子　　　　　　16,000円</t>
    <rPh sb="2" eb="4">
      <t>カシ</t>
    </rPh>
    <rPh sb="16" eb="17">
      <t>エン</t>
    </rPh>
    <phoneticPr fontId="2"/>
  </si>
  <si>
    <t>お菓子　　　　　　16,000円</t>
    <rPh sb="1" eb="3">
      <t>カシ</t>
    </rPh>
    <rPh sb="15" eb="16">
      <t>エン</t>
    </rPh>
    <phoneticPr fontId="2"/>
  </si>
  <si>
    <t>光るブレスレット  　5,000円</t>
    <rPh sb="0" eb="1">
      <t>ヒカ</t>
    </rPh>
    <rPh sb="16" eb="17">
      <t>エン</t>
    </rPh>
    <phoneticPr fontId="2"/>
  </si>
  <si>
    <t>町内会よりお菓子費用　13,000円</t>
    <rPh sb="0" eb="2">
      <t>チョウナイ</t>
    </rPh>
    <rPh sb="2" eb="3">
      <t>カイ</t>
    </rPh>
    <rPh sb="6" eb="8">
      <t>カシ</t>
    </rPh>
    <rPh sb="8" eb="10">
      <t>ヒヨウ</t>
    </rPh>
    <rPh sb="17" eb="18">
      <t>エン</t>
    </rPh>
    <phoneticPr fontId="2"/>
  </si>
  <si>
    <t>お菓子　　　  9,000円</t>
    <rPh sb="1" eb="3">
      <t>カシ</t>
    </rPh>
    <rPh sb="13" eb="14">
      <t>エン</t>
    </rPh>
    <phoneticPr fontId="2"/>
  </si>
  <si>
    <t>コミュニティ　2名</t>
    <rPh sb="8" eb="9">
      <t>ナ</t>
    </rPh>
    <phoneticPr fontId="2"/>
  </si>
  <si>
    <t>ビンゴ景品　15,000円</t>
    <rPh sb="3" eb="5">
      <t>ケイヒン</t>
    </rPh>
    <rPh sb="12" eb="13">
      <t>エン</t>
    </rPh>
    <phoneticPr fontId="2"/>
  </si>
  <si>
    <t>昼食代　12,000</t>
    <rPh sb="0" eb="2">
      <t>チュウショク</t>
    </rPh>
    <rPh sb="2" eb="3">
      <t>ダイ</t>
    </rPh>
    <phoneticPr fontId="2"/>
  </si>
  <si>
    <t>図書カード　500×8名</t>
    <rPh sb="0" eb="2">
      <t>トショ</t>
    </rPh>
    <rPh sb="11" eb="12">
      <t>ナ</t>
    </rPh>
    <phoneticPr fontId="2"/>
  </si>
  <si>
    <t>計</t>
    <rPh sb="0" eb="1">
      <t>ケイ</t>
    </rPh>
    <phoneticPr fontId="2"/>
  </si>
  <si>
    <t>次年度繰越金</t>
    <rPh sb="0" eb="1">
      <t>ツギ</t>
    </rPh>
    <rPh sb="1" eb="3">
      <t>ネンド</t>
    </rPh>
    <rPh sb="3" eb="5">
      <t>クリコシ</t>
    </rPh>
    <rPh sb="5" eb="6">
      <t>キン</t>
    </rPh>
    <phoneticPr fontId="2"/>
  </si>
  <si>
    <t>2018年度繰越金</t>
    <rPh sb="4" eb="6">
      <t>ネンド</t>
    </rPh>
    <rPh sb="6" eb="8">
      <t>クリコシ</t>
    </rPh>
    <rPh sb="8" eb="9">
      <t>キン</t>
    </rPh>
    <phoneticPr fontId="2"/>
  </si>
  <si>
    <t>2019年度　向洋大原町子ども会収支決算報告書</t>
    <rPh sb="4" eb="6">
      <t>ネンド</t>
    </rPh>
    <rPh sb="7" eb="9">
      <t>ムカイナダ</t>
    </rPh>
    <rPh sb="9" eb="12">
      <t>オオハラチョウ</t>
    </rPh>
    <rPh sb="12" eb="13">
      <t>コ</t>
    </rPh>
    <rPh sb="15" eb="16">
      <t>カイ</t>
    </rPh>
    <rPh sb="16" eb="18">
      <t>シュウシ</t>
    </rPh>
    <rPh sb="18" eb="20">
      <t>ケッサン</t>
    </rPh>
    <rPh sb="20" eb="22">
      <t>ホウコク</t>
    </rPh>
    <rPh sb="22" eb="23">
      <t>ショ</t>
    </rPh>
    <phoneticPr fontId="2"/>
  </si>
  <si>
    <t>2021年度　子ども会会長</t>
    <rPh sb="4" eb="6">
      <t>ネンド</t>
    </rPh>
    <rPh sb="7" eb="8">
      <t>コ</t>
    </rPh>
    <rPh sb="10" eb="11">
      <t>カイ</t>
    </rPh>
    <rPh sb="11" eb="13">
      <t>カイチョウ</t>
    </rPh>
    <phoneticPr fontId="2"/>
  </si>
  <si>
    <t>2021年度　子ども会会計</t>
    <rPh sb="4" eb="5">
      <t>ネン</t>
    </rPh>
    <rPh sb="5" eb="6">
      <t>ド</t>
    </rPh>
    <rPh sb="7" eb="8">
      <t>コ</t>
    </rPh>
    <rPh sb="10" eb="11">
      <t>カイ</t>
    </rPh>
    <rPh sb="11" eb="13">
      <t>カイケイ</t>
    </rPh>
    <phoneticPr fontId="2"/>
  </si>
  <si>
    <t>2021年度　子ども会監査</t>
    <rPh sb="4" eb="6">
      <t>ネンド</t>
    </rPh>
    <rPh sb="7" eb="8">
      <t>コ</t>
    </rPh>
    <rPh sb="10" eb="11">
      <t>カイ</t>
    </rPh>
    <rPh sb="11" eb="13">
      <t>カンサ</t>
    </rPh>
    <phoneticPr fontId="2"/>
  </si>
  <si>
    <t>○○〇〇年度繰越金</t>
    <rPh sb="4" eb="6">
      <t>ネンド</t>
    </rPh>
    <rPh sb="6" eb="8">
      <t>クリコシ</t>
    </rPh>
    <rPh sb="8" eb="9">
      <t>キン</t>
    </rPh>
    <phoneticPr fontId="2"/>
  </si>
  <si>
    <t>○○〇〇年度合計</t>
    <rPh sb="4" eb="6">
      <t>ネンド</t>
    </rPh>
    <rPh sb="6" eb="8">
      <t>ゴウケイ</t>
    </rPh>
    <phoneticPr fontId="2"/>
  </si>
  <si>
    <t>○○○○年度繰越金</t>
    <rPh sb="4" eb="6">
      <t>ネンド</t>
    </rPh>
    <rPh sb="6" eb="8">
      <t>クリコシ</t>
    </rPh>
    <rPh sb="8" eb="9">
      <t>キン</t>
    </rPh>
    <phoneticPr fontId="2"/>
  </si>
  <si>
    <t>年度　向洋大原町子ども会収支予算（案）</t>
    <rPh sb="0" eb="2">
      <t>ネンド</t>
    </rPh>
    <rPh sb="3" eb="5">
      <t>ムカイナダ</t>
    </rPh>
    <rPh sb="5" eb="8">
      <t>オオハラチョウ</t>
    </rPh>
    <rPh sb="8" eb="9">
      <t>コ</t>
    </rPh>
    <rPh sb="11" eb="12">
      <t>カイ</t>
    </rPh>
    <rPh sb="12" eb="14">
      <t>シュウシ</t>
    </rPh>
    <rPh sb="14" eb="16">
      <t>ヨサン</t>
    </rPh>
    <rPh sb="17" eb="18">
      <t>アン</t>
    </rPh>
    <phoneticPr fontId="2"/>
  </si>
  <si>
    <t>年度　向洋大原町子ども会収支予算（実績）</t>
    <rPh sb="0" eb="2">
      <t>ネンド</t>
    </rPh>
    <rPh sb="3" eb="5">
      <t>ムカイナダ</t>
    </rPh>
    <rPh sb="5" eb="8">
      <t>オオハラチョウ</t>
    </rPh>
    <rPh sb="8" eb="9">
      <t>コ</t>
    </rPh>
    <rPh sb="11" eb="12">
      <t>カイ</t>
    </rPh>
    <rPh sb="12" eb="14">
      <t>シュウシ</t>
    </rPh>
    <rPh sb="14" eb="16">
      <t>ヨサン</t>
    </rPh>
    <rPh sb="17" eb="19">
      <t>ジッセキ</t>
    </rPh>
    <phoneticPr fontId="2"/>
  </si>
  <si>
    <t>20○○年4月1日～20〇〇年3月31日</t>
    <rPh sb="4" eb="5">
      <t>ネン</t>
    </rPh>
    <rPh sb="6" eb="7">
      <t>ガツ</t>
    </rPh>
    <rPh sb="8" eb="9">
      <t>ニチ</t>
    </rPh>
    <rPh sb="14" eb="15">
      <t>ネン</t>
    </rPh>
    <rPh sb="16" eb="17">
      <t>ガツ</t>
    </rPh>
    <rPh sb="19" eb="20">
      <t>ニチ</t>
    </rPh>
    <phoneticPr fontId="2"/>
  </si>
  <si>
    <t>20○○年度　子ども会会長</t>
    <rPh sb="4" eb="6">
      <t>ネンド</t>
    </rPh>
    <rPh sb="7" eb="8">
      <t>コ</t>
    </rPh>
    <rPh sb="10" eb="11">
      <t>カイ</t>
    </rPh>
    <rPh sb="11" eb="13">
      <t>カイチョウ</t>
    </rPh>
    <phoneticPr fontId="2"/>
  </si>
  <si>
    <t>20○○年度　子ども会副会長</t>
    <rPh sb="4" eb="5">
      <t>ネン</t>
    </rPh>
    <rPh sb="5" eb="6">
      <t>ド</t>
    </rPh>
    <rPh sb="7" eb="8">
      <t>コ</t>
    </rPh>
    <rPh sb="10" eb="11">
      <t>カイ</t>
    </rPh>
    <rPh sb="11" eb="14">
      <t>フクカイチョウ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</si>
</sst>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0" fillId="0" borderId="2" xfId="0" applyBorder="1">
      <alignment vertical="center"/>
    </xf>
    <xf numFmtId="38" fontId="4" fillId="0" borderId="0" xfId="1" applyFont="1" applyAlignment="1">
      <alignment horizontal="center" vertical="center"/>
    </xf>
    <xf numFmtId="38" fontId="0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7" xfId="0" applyBorder="1">
      <alignment vertical="center"/>
    </xf>
    <xf numFmtId="0" fontId="0" fillId="0" borderId="2" xfId="0" applyBorder="1" applyAlignment="1">
      <alignment horizontal="center" vertical="center"/>
    </xf>
    <xf numFmtId="38" fontId="0" fillId="0" borderId="1" xfId="1" applyFont="1" applyBorder="1">
      <alignment vertical="center"/>
    </xf>
    <xf numFmtId="0" fontId="0" fillId="0" borderId="1" xfId="0" applyBorder="1">
      <alignment vertical="center"/>
    </xf>
    <xf numFmtId="0" fontId="7" fillId="0" borderId="3" xfId="0" applyFont="1" applyBorder="1">
      <alignment vertical="center"/>
    </xf>
    <xf numFmtId="38" fontId="7" fillId="0" borderId="3" xfId="1" applyFont="1" applyBorder="1">
      <alignment vertical="center"/>
    </xf>
    <xf numFmtId="0" fontId="7" fillId="0" borderId="4" xfId="0" applyFont="1" applyBorder="1">
      <alignment vertical="center"/>
    </xf>
    <xf numFmtId="38" fontId="7" fillId="0" borderId="4" xfId="1" applyFont="1" applyBorder="1">
      <alignment vertical="center"/>
    </xf>
    <xf numFmtId="0" fontId="7" fillId="0" borderId="5" xfId="0" applyFont="1" applyBorder="1">
      <alignment vertical="center"/>
    </xf>
    <xf numFmtId="38" fontId="7" fillId="0" borderId="5" xfId="1" applyFont="1" applyBorder="1">
      <alignment vertical="center"/>
    </xf>
    <xf numFmtId="0" fontId="7" fillId="0" borderId="1" xfId="0" applyFont="1" applyBorder="1">
      <alignment vertical="center"/>
    </xf>
    <xf numFmtId="38" fontId="7" fillId="0" borderId="1" xfId="1" applyFont="1" applyBorder="1">
      <alignment vertical="center"/>
    </xf>
    <xf numFmtId="0" fontId="5" fillId="0" borderId="4" xfId="0" applyFont="1" applyBorder="1">
      <alignment vertical="center"/>
    </xf>
    <xf numFmtId="38" fontId="0" fillId="0" borderId="4" xfId="1" applyFont="1" applyBorder="1">
      <alignment vertical="center"/>
    </xf>
    <xf numFmtId="38" fontId="8" fillId="0" borderId="6" xfId="1" applyFont="1" applyBorder="1">
      <alignment vertical="center"/>
    </xf>
    <xf numFmtId="38" fontId="8" fillId="0" borderId="3" xfId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0" fontId="0" fillId="0" borderId="0" xfId="0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8" fillId="0" borderId="14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6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19" xfId="0" applyFont="1" applyBorder="1">
      <alignment vertical="center"/>
    </xf>
    <xf numFmtId="0" fontId="7" fillId="0" borderId="20" xfId="0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5" fillId="0" borderId="21" xfId="0" applyFont="1" applyBorder="1" applyAlignment="1">
      <alignment horizontal="center" vertical="center"/>
    </xf>
    <xf numFmtId="38" fontId="0" fillId="0" borderId="22" xfId="1" applyFont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5" fillId="0" borderId="15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topLeftCell="A21" workbookViewId="0">
      <selection activeCell="K46" sqref="K46"/>
    </sheetView>
  </sheetViews>
  <sheetFormatPr defaultRowHeight="18.75" x14ac:dyDescent="0.4"/>
  <cols>
    <col min="1" max="1" width="15.75" style="9" customWidth="1"/>
    <col min="2" max="2" width="10.75" style="7" customWidth="1"/>
    <col min="3" max="3" width="23.75" customWidth="1"/>
    <col min="4" max="4" width="10.75" customWidth="1"/>
    <col min="5" max="5" width="23.75" customWidth="1"/>
    <col min="6" max="6" width="20.75" customWidth="1"/>
  </cols>
  <sheetData>
    <row r="1" spans="1:6" ht="49.9" customHeight="1" x14ac:dyDescent="0.4">
      <c r="A1" s="49" t="s">
        <v>74</v>
      </c>
      <c r="B1" s="49"/>
      <c r="C1" s="49"/>
      <c r="D1" s="49"/>
      <c r="E1" s="49"/>
      <c r="F1" s="1"/>
    </row>
    <row r="2" spans="1:6" s="3" customFormat="1" ht="15" customHeight="1" x14ac:dyDescent="0.4">
      <c r="A2" s="8"/>
      <c r="B2" s="6"/>
      <c r="C2" s="2"/>
      <c r="D2" s="50" t="s">
        <v>75</v>
      </c>
      <c r="E2" s="50"/>
      <c r="F2" s="2"/>
    </row>
    <row r="3" spans="1:6" s="3" customFormat="1" ht="15" customHeight="1" x14ac:dyDescent="0.4">
      <c r="A3" s="8"/>
      <c r="B3" s="6"/>
      <c r="C3" s="2"/>
      <c r="D3" s="51" t="s">
        <v>6</v>
      </c>
      <c r="E3" s="51"/>
      <c r="F3" s="2"/>
    </row>
    <row r="4" spans="1:6" s="3" customFormat="1" ht="4.9000000000000004" customHeight="1" thickBot="1" x14ac:dyDescent="0.45">
      <c r="A4" s="8"/>
      <c r="B4" s="6"/>
      <c r="C4" s="2"/>
      <c r="D4" s="4"/>
      <c r="E4" s="4"/>
      <c r="F4" s="2"/>
    </row>
    <row r="5" spans="1:6" s="3" customFormat="1" ht="15" customHeight="1" x14ac:dyDescent="0.4">
      <c r="A5" s="52" t="s">
        <v>0</v>
      </c>
      <c r="B5" s="54" t="s">
        <v>3</v>
      </c>
      <c r="C5" s="54"/>
      <c r="D5" s="54" t="s">
        <v>4</v>
      </c>
      <c r="E5" s="55"/>
      <c r="F5" s="2"/>
    </row>
    <row r="6" spans="1:6" s="3" customFormat="1" ht="15" customHeight="1" thickBot="1" x14ac:dyDescent="0.45">
      <c r="A6" s="53"/>
      <c r="B6" s="25" t="s">
        <v>1</v>
      </c>
      <c r="C6" s="26" t="s">
        <v>2</v>
      </c>
      <c r="D6" s="26" t="s">
        <v>1</v>
      </c>
      <c r="E6" s="29" t="s">
        <v>2</v>
      </c>
      <c r="F6" s="2"/>
    </row>
    <row r="7" spans="1:6" s="3" customFormat="1" ht="15" customHeight="1" thickTop="1" x14ac:dyDescent="0.4">
      <c r="A7" s="30" t="s">
        <v>26</v>
      </c>
      <c r="B7" s="24">
        <v>211984</v>
      </c>
      <c r="C7" s="27"/>
      <c r="D7" s="27">
        <v>0</v>
      </c>
      <c r="E7" s="31"/>
    </row>
    <row r="8" spans="1:6" s="3" customFormat="1" ht="15" customHeight="1" x14ac:dyDescent="0.4">
      <c r="A8" s="32" t="s">
        <v>7</v>
      </c>
      <c r="B8" s="15">
        <v>25440</v>
      </c>
      <c r="C8" s="14" t="s">
        <v>28</v>
      </c>
      <c r="D8" s="15">
        <v>11720</v>
      </c>
      <c r="E8" s="33" t="s">
        <v>31</v>
      </c>
    </row>
    <row r="9" spans="1:6" s="3" customFormat="1" ht="15" customHeight="1" x14ac:dyDescent="0.4">
      <c r="A9" s="34"/>
      <c r="B9" s="17"/>
      <c r="C9" s="16" t="s">
        <v>29</v>
      </c>
      <c r="D9" s="16"/>
      <c r="E9" s="35" t="s">
        <v>32</v>
      </c>
    </row>
    <row r="10" spans="1:6" s="3" customFormat="1" ht="15" customHeight="1" x14ac:dyDescent="0.4">
      <c r="A10" s="34"/>
      <c r="B10" s="17"/>
      <c r="C10" s="16" t="s">
        <v>30</v>
      </c>
      <c r="D10" s="16"/>
      <c r="E10" s="35" t="s">
        <v>58</v>
      </c>
    </row>
    <row r="11" spans="1:6" s="3" customFormat="1" ht="15" customHeight="1" x14ac:dyDescent="0.4">
      <c r="A11" s="34"/>
      <c r="B11" s="17"/>
      <c r="C11" s="16" t="s">
        <v>33</v>
      </c>
      <c r="D11" s="16"/>
      <c r="E11" s="35" t="s">
        <v>57</v>
      </c>
    </row>
    <row r="12" spans="1:6" s="3" customFormat="1" ht="15" customHeight="1" x14ac:dyDescent="0.4">
      <c r="A12" s="36"/>
      <c r="B12" s="19"/>
      <c r="C12" s="18" t="s">
        <v>34</v>
      </c>
      <c r="D12" s="18"/>
      <c r="E12" s="37"/>
    </row>
    <row r="13" spans="1:6" s="3" customFormat="1" ht="15" customHeight="1" x14ac:dyDescent="0.4">
      <c r="A13" s="34" t="s">
        <v>8</v>
      </c>
      <c r="B13" s="17">
        <v>10000</v>
      </c>
      <c r="C13" s="16" t="s">
        <v>59</v>
      </c>
      <c r="D13" s="17">
        <v>14000</v>
      </c>
      <c r="E13" s="35" t="s">
        <v>76</v>
      </c>
    </row>
    <row r="14" spans="1:6" s="3" customFormat="1" ht="15" customHeight="1" x14ac:dyDescent="0.4">
      <c r="A14" s="34"/>
      <c r="B14" s="17"/>
      <c r="C14" s="16"/>
      <c r="D14" s="17"/>
      <c r="E14" s="35"/>
    </row>
    <row r="15" spans="1:6" s="3" customFormat="1" ht="15" customHeight="1" x14ac:dyDescent="0.4">
      <c r="A15" s="34"/>
      <c r="B15" s="17"/>
      <c r="C15" s="16"/>
      <c r="D15" s="17"/>
      <c r="E15" s="35"/>
    </row>
    <row r="16" spans="1:6" s="3" customFormat="1" ht="15" customHeight="1" x14ac:dyDescent="0.4">
      <c r="A16" s="38" t="s">
        <v>9</v>
      </c>
      <c r="B16" s="21">
        <v>35000</v>
      </c>
      <c r="C16" s="20" t="s">
        <v>10</v>
      </c>
      <c r="D16" s="21"/>
      <c r="E16" s="39"/>
    </row>
    <row r="17" spans="1:5" s="3" customFormat="1" ht="15" customHeight="1" x14ac:dyDescent="0.4">
      <c r="A17" s="34" t="s">
        <v>11</v>
      </c>
      <c r="B17" s="17">
        <v>0</v>
      </c>
      <c r="C17" s="16"/>
      <c r="D17" s="17">
        <v>14000</v>
      </c>
      <c r="E17" s="35" t="s">
        <v>14</v>
      </c>
    </row>
    <row r="18" spans="1:5" s="3" customFormat="1" ht="15" customHeight="1" x14ac:dyDescent="0.4">
      <c r="A18" s="34"/>
      <c r="B18" s="17"/>
      <c r="C18" s="16"/>
      <c r="D18" s="17"/>
      <c r="E18" s="35"/>
    </row>
    <row r="19" spans="1:5" s="3" customFormat="1" ht="15" customHeight="1" x14ac:dyDescent="0.4">
      <c r="A19" s="38" t="s">
        <v>12</v>
      </c>
      <c r="B19" s="21"/>
      <c r="C19" s="20"/>
      <c r="D19" s="21">
        <v>6000</v>
      </c>
      <c r="E19" s="39" t="s">
        <v>13</v>
      </c>
    </row>
    <row r="20" spans="1:5" s="3" customFormat="1" ht="15" customHeight="1" x14ac:dyDescent="0.4">
      <c r="A20" s="32" t="s">
        <v>15</v>
      </c>
      <c r="B20" s="15">
        <v>21800</v>
      </c>
      <c r="C20" s="14" t="s">
        <v>16</v>
      </c>
      <c r="D20" s="15">
        <v>21800</v>
      </c>
      <c r="E20" s="33"/>
    </row>
    <row r="21" spans="1:5" s="3" customFormat="1" ht="15" customHeight="1" x14ac:dyDescent="0.4">
      <c r="A21" s="34"/>
      <c r="B21" s="17"/>
      <c r="C21" s="16" t="s">
        <v>41</v>
      </c>
      <c r="D21" s="16"/>
      <c r="E21" s="35" t="s">
        <v>38</v>
      </c>
    </row>
    <row r="22" spans="1:5" s="3" customFormat="1" ht="15" customHeight="1" x14ac:dyDescent="0.4">
      <c r="A22" s="34"/>
      <c r="B22" s="17"/>
      <c r="C22" s="16" t="s">
        <v>78</v>
      </c>
      <c r="D22" s="16"/>
      <c r="E22" s="35" t="s">
        <v>79</v>
      </c>
    </row>
    <row r="23" spans="1:5" s="3" customFormat="1" ht="15" customHeight="1" x14ac:dyDescent="0.4">
      <c r="A23" s="36"/>
      <c r="B23" s="19"/>
      <c r="C23" s="18" t="s">
        <v>77</v>
      </c>
      <c r="D23" s="18"/>
      <c r="E23" s="37" t="s">
        <v>80</v>
      </c>
    </row>
    <row r="24" spans="1:5" s="3" customFormat="1" ht="15" customHeight="1" x14ac:dyDescent="0.4">
      <c r="A24" s="34" t="s">
        <v>17</v>
      </c>
      <c r="B24" s="17">
        <v>0</v>
      </c>
      <c r="C24" s="16"/>
      <c r="D24" s="17">
        <v>3000</v>
      </c>
      <c r="E24" s="35" t="s">
        <v>18</v>
      </c>
    </row>
    <row r="25" spans="1:5" s="3" customFormat="1" ht="15" customHeight="1" x14ac:dyDescent="0.4">
      <c r="A25" s="38" t="s">
        <v>19</v>
      </c>
      <c r="B25" s="21">
        <v>0</v>
      </c>
      <c r="C25" s="20"/>
      <c r="D25" s="21">
        <v>20000</v>
      </c>
      <c r="E25" s="39"/>
    </row>
    <row r="26" spans="1:5" s="3" customFormat="1" ht="15" customHeight="1" x14ac:dyDescent="0.4">
      <c r="A26" s="38" t="s">
        <v>9</v>
      </c>
      <c r="B26" s="21">
        <v>35000</v>
      </c>
      <c r="C26" s="20" t="s">
        <v>10</v>
      </c>
      <c r="D26" s="20">
        <v>0</v>
      </c>
      <c r="E26" s="39"/>
    </row>
    <row r="27" spans="1:5" s="3" customFormat="1" ht="15" customHeight="1" x14ac:dyDescent="0.4">
      <c r="A27" s="34" t="s">
        <v>20</v>
      </c>
      <c r="B27" s="17">
        <v>18000</v>
      </c>
      <c r="C27" s="16" t="s">
        <v>81</v>
      </c>
      <c r="D27" s="17">
        <v>13000</v>
      </c>
      <c r="E27" s="35" t="s">
        <v>21</v>
      </c>
    </row>
    <row r="28" spans="1:5" s="3" customFormat="1" ht="15" customHeight="1" x14ac:dyDescent="0.4">
      <c r="A28" s="34"/>
      <c r="B28" s="17"/>
      <c r="C28" s="16" t="s">
        <v>55</v>
      </c>
      <c r="D28" s="16"/>
      <c r="E28" s="35"/>
    </row>
    <row r="29" spans="1:5" s="3" customFormat="1" ht="15" customHeight="1" x14ac:dyDescent="0.4">
      <c r="A29" s="32" t="s">
        <v>22</v>
      </c>
      <c r="B29" s="15">
        <v>0</v>
      </c>
      <c r="C29" s="14"/>
      <c r="D29" s="15">
        <v>21000</v>
      </c>
      <c r="E29" s="33" t="s">
        <v>46</v>
      </c>
    </row>
    <row r="30" spans="1:5" s="3" customFormat="1" ht="15" customHeight="1" x14ac:dyDescent="0.4">
      <c r="A30" s="34"/>
      <c r="B30" s="17"/>
      <c r="C30" s="16"/>
      <c r="D30" s="16"/>
      <c r="E30" s="35" t="s">
        <v>45</v>
      </c>
    </row>
    <row r="31" spans="1:5" s="3" customFormat="1" ht="15" customHeight="1" x14ac:dyDescent="0.4">
      <c r="A31" s="36"/>
      <c r="B31" s="19"/>
      <c r="C31" s="18"/>
      <c r="D31" s="18"/>
      <c r="E31" s="37" t="s">
        <v>82</v>
      </c>
    </row>
    <row r="32" spans="1:5" s="3" customFormat="1" ht="15" customHeight="1" x14ac:dyDescent="0.4">
      <c r="A32" s="34" t="s">
        <v>48</v>
      </c>
      <c r="B32" s="17"/>
      <c r="C32" s="16"/>
      <c r="D32" s="17">
        <v>2000</v>
      </c>
      <c r="E32" s="35" t="s">
        <v>83</v>
      </c>
    </row>
    <row r="33" spans="1:5" s="3" customFormat="1" ht="15" customHeight="1" x14ac:dyDescent="0.4">
      <c r="A33" s="34"/>
      <c r="B33" s="17"/>
      <c r="C33" s="16"/>
      <c r="D33" s="16"/>
      <c r="E33" s="35"/>
    </row>
    <row r="34" spans="1:5" s="3" customFormat="1" ht="15" customHeight="1" x14ac:dyDescent="0.4">
      <c r="A34" s="34"/>
      <c r="B34" s="17"/>
      <c r="C34" s="16"/>
      <c r="D34" s="16"/>
      <c r="E34" s="35"/>
    </row>
    <row r="35" spans="1:5" ht="15" customHeight="1" x14ac:dyDescent="0.4">
      <c r="A35" s="36"/>
      <c r="B35" s="19"/>
      <c r="C35" s="18"/>
      <c r="D35" s="18"/>
      <c r="E35" s="37"/>
    </row>
    <row r="36" spans="1:5" ht="15" customHeight="1" x14ac:dyDescent="0.4">
      <c r="A36" s="34" t="s">
        <v>61</v>
      </c>
      <c r="B36" s="17">
        <v>0</v>
      </c>
      <c r="C36" s="16"/>
      <c r="D36" s="17">
        <v>4000</v>
      </c>
      <c r="E36" s="35" t="s">
        <v>86</v>
      </c>
    </row>
    <row r="37" spans="1:5" ht="15" customHeight="1" x14ac:dyDescent="0.4">
      <c r="A37" s="34" t="s">
        <v>62</v>
      </c>
      <c r="B37" s="17"/>
      <c r="C37" s="16"/>
      <c r="D37" s="17">
        <v>27000</v>
      </c>
      <c r="E37" s="35" t="s">
        <v>84</v>
      </c>
    </row>
    <row r="38" spans="1:5" ht="15" customHeight="1" x14ac:dyDescent="0.4">
      <c r="A38" s="34"/>
      <c r="B38" s="17"/>
      <c r="C38" s="16"/>
      <c r="D38" s="17"/>
      <c r="E38" s="35" t="s">
        <v>85</v>
      </c>
    </row>
    <row r="39" spans="1:5" ht="15" customHeight="1" x14ac:dyDescent="0.4">
      <c r="A39" s="34"/>
      <c r="B39" s="17"/>
      <c r="C39" s="16"/>
      <c r="D39" s="17"/>
      <c r="E39" s="35"/>
    </row>
    <row r="40" spans="1:5" ht="15" customHeight="1" x14ac:dyDescent="0.4">
      <c r="A40" s="36"/>
      <c r="B40" s="19"/>
      <c r="C40" s="18"/>
      <c r="D40" s="19"/>
      <c r="E40" s="37"/>
    </row>
    <row r="41" spans="1:5" ht="15" customHeight="1" x14ac:dyDescent="0.4">
      <c r="A41" s="32" t="s">
        <v>63</v>
      </c>
      <c r="B41" s="15"/>
      <c r="C41" s="14"/>
      <c r="D41" s="15">
        <v>4000</v>
      </c>
      <c r="E41" s="33" t="s">
        <v>64</v>
      </c>
    </row>
    <row r="42" spans="1:5" ht="15" customHeight="1" x14ac:dyDescent="0.4">
      <c r="A42" s="38" t="s">
        <v>72</v>
      </c>
      <c r="B42" s="21"/>
      <c r="C42" s="20"/>
      <c r="D42" s="21">
        <v>2000</v>
      </c>
      <c r="E42" s="39" t="s">
        <v>71</v>
      </c>
    </row>
    <row r="43" spans="1:5" ht="15" customHeight="1" x14ac:dyDescent="0.4">
      <c r="A43" s="38"/>
      <c r="B43" s="21"/>
      <c r="C43" s="20"/>
      <c r="D43" s="21"/>
      <c r="E43" s="39"/>
    </row>
    <row r="44" spans="1:5" ht="15" customHeight="1" x14ac:dyDescent="0.4">
      <c r="A44" s="40" t="s">
        <v>87</v>
      </c>
      <c r="B44" s="23">
        <f>SUM(B8:B43)</f>
        <v>145240</v>
      </c>
      <c r="C44" s="22"/>
      <c r="D44" s="23">
        <f>SUM(D8:D42)</f>
        <v>163520</v>
      </c>
      <c r="E44" s="41"/>
    </row>
    <row r="45" spans="1:5" ht="15" customHeight="1" x14ac:dyDescent="0.4">
      <c r="A45" s="42" t="s">
        <v>88</v>
      </c>
      <c r="B45" s="12">
        <v>0</v>
      </c>
      <c r="C45" s="13"/>
      <c r="D45" s="12">
        <v>193704</v>
      </c>
      <c r="E45" s="43"/>
    </row>
    <row r="46" spans="1:5" ht="15" customHeight="1" thickBot="1" x14ac:dyDescent="0.45">
      <c r="A46" s="44" t="s">
        <v>27</v>
      </c>
      <c r="B46" s="45">
        <v>357224</v>
      </c>
      <c r="C46" s="46"/>
      <c r="D46" s="45">
        <f>SUM(D44:D45)</f>
        <v>357224</v>
      </c>
      <c r="E46" s="47"/>
    </row>
    <row r="47" spans="1:5" ht="4.9000000000000004" customHeight="1" x14ac:dyDescent="0.4"/>
    <row r="48" spans="1:5" ht="22.15" customHeight="1" x14ac:dyDescent="0.4">
      <c r="E48" s="28"/>
    </row>
  </sheetData>
  <mergeCells count="6">
    <mergeCell ref="A1:E1"/>
    <mergeCell ref="D2:E2"/>
    <mergeCell ref="D3:E3"/>
    <mergeCell ref="A5:A6"/>
    <mergeCell ref="B5:C5"/>
    <mergeCell ref="D5:E5"/>
  </mergeCells>
  <phoneticPr fontId="2"/>
  <pageMargins left="0.62992125984251968" right="0.19685039370078741" top="0.35433070866141736" bottom="0.35433070866141736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topLeftCell="A19" workbookViewId="0">
      <selection activeCell="E49" sqref="E49"/>
    </sheetView>
  </sheetViews>
  <sheetFormatPr defaultRowHeight="18.75" x14ac:dyDescent="0.4"/>
  <cols>
    <col min="1" max="1" width="15.75" style="9" customWidth="1"/>
    <col min="2" max="2" width="10.75" style="7" customWidth="1"/>
    <col min="3" max="3" width="23.75" customWidth="1"/>
    <col min="4" max="4" width="10.75" customWidth="1"/>
    <col min="5" max="5" width="23.75" customWidth="1"/>
    <col min="6" max="6" width="20.75" customWidth="1"/>
  </cols>
  <sheetData>
    <row r="1" spans="1:6" ht="49.9" customHeight="1" x14ac:dyDescent="0.4">
      <c r="A1" s="49" t="s">
        <v>90</v>
      </c>
      <c r="B1" s="49"/>
      <c r="C1" s="49"/>
      <c r="D1" s="49"/>
      <c r="E1" s="49"/>
      <c r="F1" s="1"/>
    </row>
    <row r="2" spans="1:6" s="3" customFormat="1" ht="15" customHeight="1" x14ac:dyDescent="0.4">
      <c r="A2" s="8"/>
      <c r="B2" s="6"/>
      <c r="C2" s="2"/>
      <c r="D2" s="50" t="s">
        <v>5</v>
      </c>
      <c r="E2" s="50"/>
      <c r="F2" s="2"/>
    </row>
    <row r="3" spans="1:6" s="3" customFormat="1" ht="15" customHeight="1" x14ac:dyDescent="0.4">
      <c r="A3" s="8"/>
      <c r="B3" s="6"/>
      <c r="C3" s="2"/>
      <c r="D3" s="51" t="s">
        <v>6</v>
      </c>
      <c r="E3" s="51"/>
      <c r="F3" s="2"/>
    </row>
    <row r="4" spans="1:6" s="3" customFormat="1" ht="4.9000000000000004" customHeight="1" thickBot="1" x14ac:dyDescent="0.45">
      <c r="A4" s="8"/>
      <c r="B4" s="6"/>
      <c r="C4" s="2"/>
      <c r="D4" s="4"/>
      <c r="E4" s="4"/>
      <c r="F4" s="2"/>
    </row>
    <row r="5" spans="1:6" s="3" customFormat="1" ht="13.15" customHeight="1" x14ac:dyDescent="0.4">
      <c r="A5" s="52" t="s">
        <v>0</v>
      </c>
      <c r="B5" s="54" t="s">
        <v>3</v>
      </c>
      <c r="C5" s="54"/>
      <c r="D5" s="54" t="s">
        <v>4</v>
      </c>
      <c r="E5" s="55"/>
      <c r="F5" s="2"/>
    </row>
    <row r="6" spans="1:6" s="3" customFormat="1" ht="13.15" customHeight="1" thickBot="1" x14ac:dyDescent="0.45">
      <c r="A6" s="53"/>
      <c r="B6" s="25" t="s">
        <v>1</v>
      </c>
      <c r="C6" s="26" t="s">
        <v>2</v>
      </c>
      <c r="D6" s="26" t="s">
        <v>1</v>
      </c>
      <c r="E6" s="29" t="s">
        <v>2</v>
      </c>
      <c r="F6" s="2"/>
    </row>
    <row r="7" spans="1:6" s="3" customFormat="1" ht="13.15" customHeight="1" thickTop="1" x14ac:dyDescent="0.4">
      <c r="A7" s="30" t="s">
        <v>89</v>
      </c>
      <c r="B7" s="24">
        <v>208769</v>
      </c>
      <c r="C7" s="27"/>
      <c r="D7" s="27">
        <v>0</v>
      </c>
      <c r="E7" s="31"/>
    </row>
    <row r="8" spans="1:6" s="3" customFormat="1" ht="14.65" customHeight="1" x14ac:dyDescent="0.4">
      <c r="A8" s="32" t="s">
        <v>7</v>
      </c>
      <c r="B8" s="15">
        <v>25440</v>
      </c>
      <c r="C8" s="14" t="s">
        <v>28</v>
      </c>
      <c r="D8" s="15">
        <v>11720</v>
      </c>
      <c r="E8" s="33" t="s">
        <v>31</v>
      </c>
    </row>
    <row r="9" spans="1:6" s="3" customFormat="1" ht="14.65" customHeight="1" x14ac:dyDescent="0.4">
      <c r="A9" s="34"/>
      <c r="B9" s="17"/>
      <c r="C9" s="16" t="s">
        <v>29</v>
      </c>
      <c r="D9" s="16"/>
      <c r="E9" s="35" t="s">
        <v>32</v>
      </c>
    </row>
    <row r="10" spans="1:6" s="3" customFormat="1" ht="14.65" customHeight="1" x14ac:dyDescent="0.4">
      <c r="A10" s="34"/>
      <c r="B10" s="17"/>
      <c r="C10" s="16" t="s">
        <v>30</v>
      </c>
      <c r="D10" s="16"/>
      <c r="E10" s="35" t="s">
        <v>58</v>
      </c>
    </row>
    <row r="11" spans="1:6" s="3" customFormat="1" ht="14.65" customHeight="1" x14ac:dyDescent="0.4">
      <c r="A11" s="34"/>
      <c r="B11" s="17"/>
      <c r="C11" s="16" t="s">
        <v>33</v>
      </c>
      <c r="D11" s="16"/>
      <c r="E11" s="35" t="s">
        <v>57</v>
      </c>
    </row>
    <row r="12" spans="1:6" s="3" customFormat="1" ht="14.65" customHeight="1" x14ac:dyDescent="0.4">
      <c r="A12" s="36"/>
      <c r="B12" s="19"/>
      <c r="C12" s="18" t="s">
        <v>34</v>
      </c>
      <c r="D12" s="18"/>
      <c r="E12" s="37"/>
    </row>
    <row r="13" spans="1:6" s="3" customFormat="1" ht="14.65" customHeight="1" x14ac:dyDescent="0.4">
      <c r="A13" s="34" t="s">
        <v>8</v>
      </c>
      <c r="B13" s="17">
        <v>17560</v>
      </c>
      <c r="C13" s="16" t="s">
        <v>59</v>
      </c>
      <c r="D13" s="17">
        <v>20952</v>
      </c>
      <c r="E13" s="35" t="s">
        <v>40</v>
      </c>
    </row>
    <row r="14" spans="1:6" s="3" customFormat="1" ht="14.65" customHeight="1" x14ac:dyDescent="0.4">
      <c r="A14" s="34"/>
      <c r="B14" s="17"/>
      <c r="C14" s="16" t="s">
        <v>35</v>
      </c>
      <c r="D14" s="17"/>
      <c r="E14" s="35" t="s">
        <v>35</v>
      </c>
    </row>
    <row r="15" spans="1:6" s="3" customFormat="1" ht="14.65" customHeight="1" x14ac:dyDescent="0.4">
      <c r="A15" s="34"/>
      <c r="B15" s="17"/>
      <c r="C15" s="16" t="s">
        <v>36</v>
      </c>
      <c r="D15" s="17"/>
      <c r="E15" s="35" t="s">
        <v>36</v>
      </c>
    </row>
    <row r="16" spans="1:6" s="3" customFormat="1" ht="14.65" customHeight="1" x14ac:dyDescent="0.4">
      <c r="A16" s="38" t="s">
        <v>9</v>
      </c>
      <c r="B16" s="21">
        <v>35000</v>
      </c>
      <c r="C16" s="20" t="s">
        <v>10</v>
      </c>
      <c r="D16" s="21"/>
      <c r="E16" s="39"/>
    </row>
    <row r="17" spans="1:5" s="3" customFormat="1" ht="14.65" customHeight="1" x14ac:dyDescent="0.4">
      <c r="A17" s="34" t="s">
        <v>11</v>
      </c>
      <c r="B17" s="17">
        <v>3343</v>
      </c>
      <c r="C17" s="16" t="s">
        <v>60</v>
      </c>
      <c r="D17" s="17">
        <v>14683</v>
      </c>
      <c r="E17" s="35" t="s">
        <v>14</v>
      </c>
    </row>
    <row r="18" spans="1:5" s="3" customFormat="1" ht="14.65" customHeight="1" x14ac:dyDescent="0.4">
      <c r="A18" s="34"/>
      <c r="B18" s="17"/>
      <c r="C18" s="16" t="s">
        <v>44</v>
      </c>
      <c r="D18" s="17"/>
      <c r="E18" s="35"/>
    </row>
    <row r="19" spans="1:5" s="3" customFormat="1" ht="14.65" customHeight="1" x14ac:dyDescent="0.4">
      <c r="A19" s="38" t="s">
        <v>12</v>
      </c>
      <c r="B19" s="21"/>
      <c r="C19" s="20"/>
      <c r="D19" s="21">
        <v>6132</v>
      </c>
      <c r="E19" s="39" t="s">
        <v>13</v>
      </c>
    </row>
    <row r="20" spans="1:5" s="3" customFormat="1" ht="14.65" customHeight="1" x14ac:dyDescent="0.4">
      <c r="A20" s="32" t="s">
        <v>15</v>
      </c>
      <c r="B20" s="15">
        <v>21730</v>
      </c>
      <c r="C20" s="14" t="s">
        <v>16</v>
      </c>
      <c r="D20" s="15">
        <v>21730</v>
      </c>
      <c r="E20" s="33"/>
    </row>
    <row r="21" spans="1:5" s="3" customFormat="1" ht="14.65" customHeight="1" x14ac:dyDescent="0.4">
      <c r="A21" s="34"/>
      <c r="B21" s="17"/>
      <c r="C21" s="16" t="s">
        <v>41</v>
      </c>
      <c r="D21" s="16"/>
      <c r="E21" s="35" t="s">
        <v>38</v>
      </c>
    </row>
    <row r="22" spans="1:5" s="3" customFormat="1" ht="14.65" customHeight="1" x14ac:dyDescent="0.4">
      <c r="A22" s="34"/>
      <c r="B22" s="17"/>
      <c r="C22" s="16" t="s">
        <v>42</v>
      </c>
      <c r="D22" s="16"/>
      <c r="E22" s="35" t="s">
        <v>37</v>
      </c>
    </row>
    <row r="23" spans="1:5" s="3" customFormat="1" ht="14.65" customHeight="1" x14ac:dyDescent="0.4">
      <c r="A23" s="36"/>
      <c r="B23" s="19"/>
      <c r="C23" s="18" t="s">
        <v>43</v>
      </c>
      <c r="D23" s="18"/>
      <c r="E23" s="37" t="s">
        <v>39</v>
      </c>
    </row>
    <row r="24" spans="1:5" s="3" customFormat="1" ht="14.65" customHeight="1" x14ac:dyDescent="0.4">
      <c r="A24" s="34" t="s">
        <v>17</v>
      </c>
      <c r="B24" s="17">
        <v>0</v>
      </c>
      <c r="C24" s="16"/>
      <c r="D24" s="17">
        <v>3000</v>
      </c>
      <c r="E24" s="35" t="s">
        <v>18</v>
      </c>
    </row>
    <row r="25" spans="1:5" s="3" customFormat="1" ht="14.65" customHeight="1" x14ac:dyDescent="0.4">
      <c r="A25" s="38" t="s">
        <v>19</v>
      </c>
      <c r="B25" s="21">
        <v>0</v>
      </c>
      <c r="C25" s="20"/>
      <c r="D25" s="21">
        <v>2000</v>
      </c>
      <c r="E25" s="39"/>
    </row>
    <row r="26" spans="1:5" s="3" customFormat="1" ht="14.65" customHeight="1" x14ac:dyDescent="0.4">
      <c r="A26" s="38" t="s">
        <v>9</v>
      </c>
      <c r="B26" s="21">
        <v>35000</v>
      </c>
      <c r="C26" s="20" t="s">
        <v>10</v>
      </c>
      <c r="D26" s="20">
        <v>0</v>
      </c>
      <c r="E26" s="39"/>
    </row>
    <row r="27" spans="1:5" s="3" customFormat="1" ht="14.65" customHeight="1" x14ac:dyDescent="0.4">
      <c r="A27" s="34" t="s">
        <v>20</v>
      </c>
      <c r="B27" s="17">
        <v>17491</v>
      </c>
      <c r="C27" s="16" t="s">
        <v>56</v>
      </c>
      <c r="D27" s="17">
        <v>12491</v>
      </c>
      <c r="E27" s="35" t="s">
        <v>21</v>
      </c>
    </row>
    <row r="28" spans="1:5" s="3" customFormat="1" ht="14.65" customHeight="1" x14ac:dyDescent="0.4">
      <c r="A28" s="34"/>
      <c r="B28" s="17"/>
      <c r="C28" s="16" t="s">
        <v>55</v>
      </c>
      <c r="D28" s="16"/>
      <c r="E28" s="35"/>
    </row>
    <row r="29" spans="1:5" s="3" customFormat="1" ht="14.65" customHeight="1" x14ac:dyDescent="0.4">
      <c r="A29" s="32" t="s">
        <v>22</v>
      </c>
      <c r="B29" s="15">
        <v>0</v>
      </c>
      <c r="C29" s="14"/>
      <c r="D29" s="15">
        <v>20922</v>
      </c>
      <c r="E29" s="33" t="s">
        <v>46</v>
      </c>
    </row>
    <row r="30" spans="1:5" s="3" customFormat="1" ht="14.65" customHeight="1" x14ac:dyDescent="0.4">
      <c r="A30" s="34"/>
      <c r="B30" s="17"/>
      <c r="C30" s="16"/>
      <c r="D30" s="16"/>
      <c r="E30" s="35" t="s">
        <v>45</v>
      </c>
    </row>
    <row r="31" spans="1:5" s="3" customFormat="1" ht="14.65" customHeight="1" x14ac:dyDescent="0.4">
      <c r="A31" s="36"/>
      <c r="B31" s="19"/>
      <c r="C31" s="18"/>
      <c r="D31" s="18"/>
      <c r="E31" s="37" t="s">
        <v>47</v>
      </c>
    </row>
    <row r="32" spans="1:5" s="3" customFormat="1" ht="14.65" customHeight="1" x14ac:dyDescent="0.4">
      <c r="A32" s="34" t="s">
        <v>48</v>
      </c>
      <c r="B32" s="17">
        <v>5000</v>
      </c>
      <c r="C32" s="16" t="s">
        <v>53</v>
      </c>
      <c r="D32" s="17">
        <v>7000</v>
      </c>
      <c r="E32" s="35" t="s">
        <v>50</v>
      </c>
    </row>
    <row r="33" spans="1:5" s="3" customFormat="1" ht="14.65" customHeight="1" x14ac:dyDescent="0.4">
      <c r="A33" s="34"/>
      <c r="B33" s="17"/>
      <c r="C33" s="16" t="s">
        <v>51</v>
      </c>
      <c r="D33" s="16"/>
      <c r="E33" s="35" t="s">
        <v>49</v>
      </c>
    </row>
    <row r="34" spans="1:5" s="3" customFormat="1" ht="14.65" customHeight="1" x14ac:dyDescent="0.4">
      <c r="A34" s="34"/>
      <c r="B34" s="17"/>
      <c r="C34" s="16" t="s">
        <v>54</v>
      </c>
      <c r="D34" s="16"/>
      <c r="E34" s="35"/>
    </row>
    <row r="35" spans="1:5" ht="14.65" customHeight="1" x14ac:dyDescent="0.4">
      <c r="A35" s="36"/>
      <c r="B35" s="19"/>
      <c r="C35" s="18" t="s">
        <v>52</v>
      </c>
      <c r="D35" s="18"/>
      <c r="E35" s="37"/>
    </row>
    <row r="36" spans="1:5" ht="14.65" customHeight="1" x14ac:dyDescent="0.4">
      <c r="A36" s="34" t="s">
        <v>61</v>
      </c>
      <c r="B36" s="17">
        <v>600</v>
      </c>
      <c r="C36" s="16" t="s">
        <v>70</v>
      </c>
      <c r="D36" s="17">
        <v>500</v>
      </c>
      <c r="E36" s="35" t="s">
        <v>65</v>
      </c>
    </row>
    <row r="37" spans="1:5" ht="14.65" customHeight="1" x14ac:dyDescent="0.4">
      <c r="A37" s="34" t="s">
        <v>62</v>
      </c>
      <c r="B37" s="17"/>
      <c r="C37" s="16"/>
      <c r="D37" s="17">
        <v>15448</v>
      </c>
      <c r="E37" s="35" t="s">
        <v>66</v>
      </c>
    </row>
    <row r="38" spans="1:5" ht="14.65" customHeight="1" x14ac:dyDescent="0.4">
      <c r="A38" s="34"/>
      <c r="B38" s="17"/>
      <c r="C38" s="16"/>
      <c r="D38" s="17">
        <v>1425</v>
      </c>
      <c r="E38" s="35" t="s">
        <v>67</v>
      </c>
    </row>
    <row r="39" spans="1:5" ht="14.65" customHeight="1" x14ac:dyDescent="0.4">
      <c r="A39" s="34"/>
      <c r="B39" s="17"/>
      <c r="C39" s="16"/>
      <c r="D39" s="17">
        <v>12400</v>
      </c>
      <c r="E39" s="35" t="s">
        <v>68</v>
      </c>
    </row>
    <row r="40" spans="1:5" ht="14.65" customHeight="1" x14ac:dyDescent="0.4">
      <c r="A40" s="36"/>
      <c r="B40" s="19"/>
      <c r="C40" s="18"/>
      <c r="D40" s="19">
        <v>1547</v>
      </c>
      <c r="E40" s="37" t="s">
        <v>69</v>
      </c>
    </row>
    <row r="41" spans="1:5" ht="14.65" customHeight="1" x14ac:dyDescent="0.4">
      <c r="A41" s="32" t="s">
        <v>63</v>
      </c>
      <c r="B41" s="15"/>
      <c r="C41" s="14"/>
      <c r="D41" s="15">
        <v>4000</v>
      </c>
      <c r="E41" s="33" t="s">
        <v>64</v>
      </c>
    </row>
    <row r="42" spans="1:5" ht="15" customHeight="1" x14ac:dyDescent="0.4">
      <c r="A42" s="38" t="s">
        <v>72</v>
      </c>
      <c r="B42" s="21"/>
      <c r="C42" s="20"/>
      <c r="D42" s="21">
        <v>2000</v>
      </c>
      <c r="E42" s="39" t="s">
        <v>71</v>
      </c>
    </row>
    <row r="43" spans="1:5" ht="15" customHeight="1" x14ac:dyDescent="0.4">
      <c r="A43" s="38" t="s">
        <v>73</v>
      </c>
      <c r="B43" s="21">
        <v>1</v>
      </c>
      <c r="C43" s="20"/>
      <c r="D43" s="21"/>
      <c r="E43" s="39"/>
    </row>
    <row r="44" spans="1:5" ht="15" customHeight="1" x14ac:dyDescent="0.4">
      <c r="A44" s="48" t="s">
        <v>25</v>
      </c>
      <c r="B44" s="23">
        <f>SUM(B8:B43)</f>
        <v>161165</v>
      </c>
      <c r="C44" s="22"/>
      <c r="D44" s="23">
        <f>SUM(D8:D42)</f>
        <v>157950</v>
      </c>
      <c r="E44" s="41"/>
    </row>
    <row r="45" spans="1:5" ht="15" customHeight="1" x14ac:dyDescent="0.4">
      <c r="A45" s="42" t="s">
        <v>26</v>
      </c>
      <c r="B45" s="12">
        <v>0</v>
      </c>
      <c r="C45" s="13"/>
      <c r="D45" s="12">
        <v>211984</v>
      </c>
      <c r="E45" s="43"/>
    </row>
    <row r="46" spans="1:5" ht="15" customHeight="1" thickBot="1" x14ac:dyDescent="0.45">
      <c r="A46" s="44" t="s">
        <v>27</v>
      </c>
      <c r="B46" s="45">
        <v>369934</v>
      </c>
      <c r="C46" s="46"/>
      <c r="D46" s="45">
        <v>369934</v>
      </c>
      <c r="E46" s="47"/>
    </row>
    <row r="47" spans="1:5" ht="4.9000000000000004" customHeight="1" x14ac:dyDescent="0.4"/>
    <row r="48" spans="1:5" x14ac:dyDescent="0.4">
      <c r="A48" s="9" t="s">
        <v>24</v>
      </c>
    </row>
    <row r="49" spans="3:5" ht="22.15" customHeight="1" x14ac:dyDescent="0.4">
      <c r="C49" s="5" t="s">
        <v>100</v>
      </c>
      <c r="D49" s="5"/>
      <c r="E49" s="11" t="s">
        <v>23</v>
      </c>
    </row>
    <row r="50" spans="3:5" ht="22.15" customHeight="1" x14ac:dyDescent="0.4">
      <c r="C50" s="10" t="s">
        <v>101</v>
      </c>
      <c r="D50" s="10"/>
      <c r="E50" s="11" t="s">
        <v>23</v>
      </c>
    </row>
  </sheetData>
  <mergeCells count="6">
    <mergeCell ref="A1:E1"/>
    <mergeCell ref="D2:E2"/>
    <mergeCell ref="D3:E3"/>
    <mergeCell ref="A5:A6"/>
    <mergeCell ref="B5:C5"/>
    <mergeCell ref="D5:E5"/>
  </mergeCells>
  <phoneticPr fontId="2"/>
  <pageMargins left="0.62992125984251968" right="0.19685039370078741" top="0.35433070866141736" bottom="0.35433070866141736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51"/>
  <sheetViews>
    <sheetView topLeftCell="A33" workbookViewId="0">
      <selection activeCell="D2" sqref="D2:E2"/>
    </sheetView>
  </sheetViews>
  <sheetFormatPr defaultRowHeight="18.75" x14ac:dyDescent="0.4"/>
  <cols>
    <col min="1" max="1" width="19.5" customWidth="1"/>
    <col min="2" max="2" width="10.75" customWidth="1"/>
    <col min="3" max="3" width="23.75" customWidth="1"/>
    <col min="4" max="4" width="10.75" customWidth="1"/>
    <col min="5" max="5" width="23.75" customWidth="1"/>
  </cols>
  <sheetData>
    <row r="1" spans="1:5" ht="30" x14ac:dyDescent="0.4">
      <c r="A1" s="49" t="s">
        <v>97</v>
      </c>
      <c r="B1" s="49"/>
      <c r="C1" s="49"/>
      <c r="D1" s="49"/>
      <c r="E1" s="49"/>
    </row>
    <row r="2" spans="1:5" ht="19.5" x14ac:dyDescent="0.4">
      <c r="A2" s="8"/>
      <c r="B2" s="6"/>
      <c r="C2" s="2"/>
      <c r="D2" s="51" t="s">
        <v>99</v>
      </c>
      <c r="E2" s="51"/>
    </row>
    <row r="3" spans="1:5" ht="19.5" x14ac:dyDescent="0.4">
      <c r="A3" s="8"/>
      <c r="B3" s="6"/>
      <c r="C3" s="2"/>
      <c r="D3" s="51" t="s">
        <v>6</v>
      </c>
      <c r="E3" s="51"/>
    </row>
    <row r="4" spans="1:5" ht="20.25" thickBot="1" x14ac:dyDescent="0.45">
      <c r="A4" s="8"/>
      <c r="B4" s="6"/>
      <c r="C4" s="2"/>
      <c r="D4" s="4"/>
      <c r="E4" s="4"/>
    </row>
    <row r="5" spans="1:5" x14ac:dyDescent="0.4">
      <c r="A5" s="52" t="s">
        <v>0</v>
      </c>
      <c r="B5" s="54" t="s">
        <v>3</v>
      </c>
      <c r="C5" s="54"/>
      <c r="D5" s="54" t="s">
        <v>4</v>
      </c>
      <c r="E5" s="55"/>
    </row>
    <row r="6" spans="1:5" ht="19.5" thickBot="1" x14ac:dyDescent="0.45">
      <c r="A6" s="53"/>
      <c r="B6" s="25" t="s">
        <v>1</v>
      </c>
      <c r="C6" s="26" t="s">
        <v>2</v>
      </c>
      <c r="D6" s="26" t="s">
        <v>1</v>
      </c>
      <c r="E6" s="29" t="s">
        <v>2</v>
      </c>
    </row>
    <row r="7" spans="1:5" ht="19.5" thickTop="1" x14ac:dyDescent="0.4">
      <c r="A7" s="56" t="s">
        <v>94</v>
      </c>
      <c r="B7" s="24"/>
      <c r="C7" s="27"/>
      <c r="D7" s="27"/>
      <c r="E7" s="31"/>
    </row>
    <row r="8" spans="1:5" x14ac:dyDescent="0.4">
      <c r="A8" s="32" t="s">
        <v>7</v>
      </c>
      <c r="B8" s="15"/>
      <c r="C8" s="14"/>
      <c r="D8" s="15"/>
      <c r="E8" s="33"/>
    </row>
    <row r="9" spans="1:5" x14ac:dyDescent="0.4">
      <c r="A9" s="34"/>
      <c r="B9" s="17"/>
      <c r="C9" s="16"/>
      <c r="D9" s="16"/>
      <c r="E9" s="35"/>
    </row>
    <row r="10" spans="1:5" x14ac:dyDescent="0.4">
      <c r="A10" s="34"/>
      <c r="B10" s="17"/>
      <c r="C10" s="16"/>
      <c r="D10" s="16"/>
      <c r="E10" s="35"/>
    </row>
    <row r="11" spans="1:5" x14ac:dyDescent="0.4">
      <c r="A11" s="34"/>
      <c r="B11" s="17"/>
      <c r="C11" s="16"/>
      <c r="D11" s="16"/>
      <c r="E11" s="35"/>
    </row>
    <row r="12" spans="1:5" x14ac:dyDescent="0.4">
      <c r="A12" s="36"/>
      <c r="B12" s="19"/>
      <c r="C12" s="18"/>
      <c r="D12" s="18"/>
      <c r="E12" s="37"/>
    </row>
    <row r="13" spans="1:5" x14ac:dyDescent="0.4">
      <c r="A13" s="34" t="s">
        <v>8</v>
      </c>
      <c r="B13" s="17"/>
      <c r="C13" s="16"/>
      <c r="D13" s="17"/>
      <c r="E13" s="35"/>
    </row>
    <row r="14" spans="1:5" x14ac:dyDescent="0.4">
      <c r="A14" s="34"/>
      <c r="B14" s="17"/>
      <c r="C14" s="16"/>
      <c r="D14" s="17"/>
      <c r="E14" s="35"/>
    </row>
    <row r="15" spans="1:5" x14ac:dyDescent="0.4">
      <c r="A15" s="34"/>
      <c r="B15" s="17"/>
      <c r="C15" s="16"/>
      <c r="D15" s="17"/>
      <c r="E15" s="35"/>
    </row>
    <row r="16" spans="1:5" x14ac:dyDescent="0.4">
      <c r="A16" s="38" t="s">
        <v>9</v>
      </c>
      <c r="B16" s="21"/>
      <c r="C16" s="20"/>
      <c r="D16" s="21"/>
      <c r="E16" s="39"/>
    </row>
    <row r="17" spans="1:5" x14ac:dyDescent="0.4">
      <c r="A17" s="34" t="s">
        <v>11</v>
      </c>
      <c r="B17" s="17"/>
      <c r="C17" s="16"/>
      <c r="D17" s="17"/>
      <c r="E17" s="35"/>
    </row>
    <row r="18" spans="1:5" x14ac:dyDescent="0.4">
      <c r="A18" s="34"/>
      <c r="B18" s="17"/>
      <c r="C18" s="16"/>
      <c r="D18" s="17"/>
      <c r="E18" s="35"/>
    </row>
    <row r="19" spans="1:5" x14ac:dyDescent="0.4">
      <c r="A19" s="38" t="s">
        <v>12</v>
      </c>
      <c r="B19" s="21"/>
      <c r="C19" s="20"/>
      <c r="D19" s="21"/>
      <c r="E19" s="39"/>
    </row>
    <row r="20" spans="1:5" x14ac:dyDescent="0.4">
      <c r="A20" s="32" t="s">
        <v>15</v>
      </c>
      <c r="B20" s="15"/>
      <c r="C20" s="14"/>
      <c r="D20" s="15"/>
      <c r="E20" s="33"/>
    </row>
    <row r="21" spans="1:5" x14ac:dyDescent="0.4">
      <c r="A21" s="34"/>
      <c r="B21" s="17"/>
      <c r="C21" s="16"/>
      <c r="D21" s="16"/>
      <c r="E21" s="35"/>
    </row>
    <row r="22" spans="1:5" x14ac:dyDescent="0.4">
      <c r="A22" s="34"/>
      <c r="B22" s="17"/>
      <c r="C22" s="16"/>
      <c r="D22" s="16"/>
      <c r="E22" s="35"/>
    </row>
    <row r="23" spans="1:5" x14ac:dyDescent="0.4">
      <c r="A23" s="36"/>
      <c r="B23" s="19"/>
      <c r="C23" s="18"/>
      <c r="D23" s="18"/>
      <c r="E23" s="37"/>
    </row>
    <row r="24" spans="1:5" x14ac:dyDescent="0.4">
      <c r="A24" s="34" t="s">
        <v>17</v>
      </c>
      <c r="B24" s="17"/>
      <c r="C24" s="16"/>
      <c r="D24" s="17"/>
      <c r="E24" s="35"/>
    </row>
    <row r="25" spans="1:5" x14ac:dyDescent="0.4">
      <c r="A25" s="38" t="s">
        <v>19</v>
      </c>
      <c r="B25" s="21"/>
      <c r="C25" s="20"/>
      <c r="D25" s="21"/>
      <c r="E25" s="39"/>
    </row>
    <row r="26" spans="1:5" x14ac:dyDescent="0.4">
      <c r="A26" s="38" t="s">
        <v>9</v>
      </c>
      <c r="B26" s="21"/>
      <c r="C26" s="20"/>
      <c r="D26" s="20"/>
      <c r="E26" s="39"/>
    </row>
    <row r="27" spans="1:5" x14ac:dyDescent="0.4">
      <c r="A27" s="34" t="s">
        <v>20</v>
      </c>
      <c r="B27" s="17"/>
      <c r="C27" s="16"/>
      <c r="D27" s="17"/>
      <c r="E27" s="35"/>
    </row>
    <row r="28" spans="1:5" x14ac:dyDescent="0.4">
      <c r="A28" s="34"/>
      <c r="B28" s="17"/>
      <c r="C28" s="16"/>
      <c r="D28" s="16"/>
      <c r="E28" s="35"/>
    </row>
    <row r="29" spans="1:5" x14ac:dyDescent="0.4">
      <c r="A29" s="32" t="s">
        <v>22</v>
      </c>
      <c r="B29" s="15"/>
      <c r="C29" s="14"/>
      <c r="D29" s="15"/>
      <c r="E29" s="33"/>
    </row>
    <row r="30" spans="1:5" x14ac:dyDescent="0.4">
      <c r="A30" s="34"/>
      <c r="B30" s="17"/>
      <c r="C30" s="16"/>
      <c r="D30" s="16"/>
      <c r="E30" s="35"/>
    </row>
    <row r="31" spans="1:5" x14ac:dyDescent="0.4">
      <c r="A31" s="36"/>
      <c r="B31" s="19"/>
      <c r="C31" s="18"/>
      <c r="D31" s="18"/>
      <c r="E31" s="37"/>
    </row>
    <row r="32" spans="1:5" x14ac:dyDescent="0.4">
      <c r="A32" s="34" t="s">
        <v>48</v>
      </c>
      <c r="B32" s="17"/>
      <c r="C32" s="16"/>
      <c r="D32" s="17"/>
      <c r="E32" s="35"/>
    </row>
    <row r="33" spans="1:5" x14ac:dyDescent="0.4">
      <c r="A33" s="34"/>
      <c r="B33" s="17"/>
      <c r="C33" s="16"/>
      <c r="D33" s="16"/>
      <c r="E33" s="35"/>
    </row>
    <row r="34" spans="1:5" x14ac:dyDescent="0.4">
      <c r="A34" s="34"/>
      <c r="B34" s="17"/>
      <c r="C34" s="16"/>
      <c r="D34" s="16"/>
      <c r="E34" s="35"/>
    </row>
    <row r="35" spans="1:5" x14ac:dyDescent="0.4">
      <c r="A35" s="36"/>
      <c r="B35" s="19"/>
      <c r="C35" s="18"/>
      <c r="D35" s="18"/>
      <c r="E35" s="37"/>
    </row>
    <row r="36" spans="1:5" x14ac:dyDescent="0.4">
      <c r="A36" s="34" t="s">
        <v>61</v>
      </c>
      <c r="B36" s="17"/>
      <c r="C36" s="16"/>
      <c r="D36" s="17"/>
      <c r="E36" s="35"/>
    </row>
    <row r="37" spans="1:5" x14ac:dyDescent="0.4">
      <c r="A37" s="34" t="s">
        <v>62</v>
      </c>
      <c r="B37" s="17"/>
      <c r="C37" s="16"/>
      <c r="D37" s="17"/>
      <c r="E37" s="35"/>
    </row>
    <row r="38" spans="1:5" x14ac:dyDescent="0.4">
      <c r="A38" s="34"/>
      <c r="B38" s="17"/>
      <c r="C38" s="16"/>
      <c r="D38" s="17"/>
      <c r="E38" s="35"/>
    </row>
    <row r="39" spans="1:5" x14ac:dyDescent="0.4">
      <c r="A39" s="34"/>
      <c r="B39" s="17"/>
      <c r="C39" s="16"/>
      <c r="D39" s="17"/>
      <c r="E39" s="35"/>
    </row>
    <row r="40" spans="1:5" x14ac:dyDescent="0.4">
      <c r="A40" s="36"/>
      <c r="B40" s="19"/>
      <c r="C40" s="18"/>
      <c r="D40" s="19"/>
      <c r="E40" s="37"/>
    </row>
    <row r="41" spans="1:5" x14ac:dyDescent="0.4">
      <c r="A41" s="32" t="s">
        <v>63</v>
      </c>
      <c r="B41" s="15"/>
      <c r="C41" s="14"/>
      <c r="D41" s="15"/>
      <c r="E41" s="33"/>
    </row>
    <row r="42" spans="1:5" x14ac:dyDescent="0.4">
      <c r="A42" s="38" t="s">
        <v>72</v>
      </c>
      <c r="B42" s="21"/>
      <c r="C42" s="20"/>
      <c r="D42" s="21"/>
      <c r="E42" s="39"/>
    </row>
    <row r="43" spans="1:5" x14ac:dyDescent="0.4">
      <c r="A43" s="38" t="s">
        <v>73</v>
      </c>
      <c r="B43" s="21"/>
      <c r="C43" s="20"/>
      <c r="D43" s="21"/>
      <c r="E43" s="39"/>
    </row>
    <row r="44" spans="1:5" x14ac:dyDescent="0.4">
      <c r="A44" s="34" t="s">
        <v>95</v>
      </c>
      <c r="B44" s="23"/>
      <c r="C44" s="22"/>
      <c r="D44" s="23"/>
      <c r="E44" s="41"/>
    </row>
    <row r="45" spans="1:5" x14ac:dyDescent="0.4">
      <c r="A45" s="38" t="s">
        <v>96</v>
      </c>
      <c r="B45" s="12"/>
      <c r="C45" s="13"/>
      <c r="D45" s="12"/>
      <c r="E45" s="43"/>
    </row>
    <row r="46" spans="1:5" ht="19.5" thickBot="1" x14ac:dyDescent="0.45">
      <c r="A46" s="44" t="s">
        <v>27</v>
      </c>
      <c r="B46" s="45">
        <f>+B7+B44</f>
        <v>0</v>
      </c>
      <c r="C46" s="46"/>
      <c r="D46" s="45">
        <f>+D44+D45</f>
        <v>0</v>
      </c>
      <c r="E46" s="47"/>
    </row>
    <row r="47" spans="1:5" x14ac:dyDescent="0.4">
      <c r="A47" s="9"/>
      <c r="B47" s="7"/>
    </row>
    <row r="48" spans="1:5" hidden="1" x14ac:dyDescent="0.4">
      <c r="A48" s="9" t="s">
        <v>24</v>
      </c>
      <c r="B48" s="7"/>
    </row>
    <row r="49" spans="1:5" hidden="1" x14ac:dyDescent="0.4">
      <c r="A49" s="9"/>
      <c r="B49" s="7"/>
      <c r="C49" s="5" t="s">
        <v>91</v>
      </c>
      <c r="D49" s="5"/>
      <c r="E49" s="11" t="s">
        <v>23</v>
      </c>
    </row>
    <row r="50" spans="1:5" hidden="1" x14ac:dyDescent="0.4">
      <c r="A50" s="9"/>
      <c r="B50" s="7"/>
      <c r="C50" s="10" t="s">
        <v>92</v>
      </c>
      <c r="D50" s="10"/>
      <c r="E50" s="11" t="s">
        <v>23</v>
      </c>
    </row>
    <row r="51" spans="1:5" hidden="1" x14ac:dyDescent="0.4">
      <c r="A51" s="9"/>
      <c r="B51" s="7"/>
      <c r="C51" s="10" t="s">
        <v>93</v>
      </c>
      <c r="D51" s="10"/>
      <c r="E51" s="11" t="s">
        <v>23</v>
      </c>
    </row>
  </sheetData>
  <mergeCells count="6">
    <mergeCell ref="A1:E1"/>
    <mergeCell ref="D2:E2"/>
    <mergeCell ref="D3:E3"/>
    <mergeCell ref="A5:A6"/>
    <mergeCell ref="B5:C5"/>
    <mergeCell ref="D5:E5"/>
  </mergeCells>
  <phoneticPr fontId="2"/>
  <pageMargins left="1.299212598425197" right="0.70866141732283472" top="0.74803149606299213" bottom="0.74803149606299213" header="0.31496062992125984" footer="0.31496062992125984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B2A4-E3F5-4C16-AD88-298FD45EC643}">
  <sheetPr>
    <pageSetUpPr fitToPage="1"/>
  </sheetPr>
  <dimension ref="A1:E53"/>
  <sheetViews>
    <sheetView tabSelected="1" workbookViewId="0">
      <selection activeCell="C52" sqref="C52:E53"/>
    </sheetView>
  </sheetViews>
  <sheetFormatPr defaultRowHeight="18.75" x14ac:dyDescent="0.4"/>
  <cols>
    <col min="1" max="1" width="19.5" customWidth="1"/>
    <col min="2" max="2" width="10.75" customWidth="1"/>
    <col min="3" max="3" width="23.75" customWidth="1"/>
    <col min="4" max="4" width="10.75" customWidth="1"/>
    <col min="5" max="5" width="23.75" customWidth="1"/>
  </cols>
  <sheetData>
    <row r="1" spans="1:5" ht="30" x14ac:dyDescent="0.4">
      <c r="A1" s="49" t="s">
        <v>98</v>
      </c>
      <c r="B1" s="49"/>
      <c r="C1" s="49"/>
      <c r="D1" s="49"/>
      <c r="E1" s="49"/>
    </row>
    <row r="2" spans="1:5" ht="19.5" x14ac:dyDescent="0.4">
      <c r="A2" s="8"/>
      <c r="B2" s="6"/>
      <c r="C2" s="2"/>
      <c r="D2" s="51" t="s">
        <v>99</v>
      </c>
      <c r="E2" s="51"/>
    </row>
    <row r="3" spans="1:5" ht="19.5" x14ac:dyDescent="0.4">
      <c r="A3" s="8"/>
      <c r="B3" s="6"/>
      <c r="C3" s="2"/>
      <c r="D3" s="51" t="s">
        <v>6</v>
      </c>
      <c r="E3" s="51"/>
    </row>
    <row r="4" spans="1:5" ht="20.25" thickBot="1" x14ac:dyDescent="0.45">
      <c r="A4" s="8"/>
      <c r="B4" s="6"/>
      <c r="C4" s="2"/>
      <c r="D4" s="4"/>
      <c r="E4" s="4"/>
    </row>
    <row r="5" spans="1:5" x14ac:dyDescent="0.4">
      <c r="A5" s="52" t="s">
        <v>0</v>
      </c>
      <c r="B5" s="54" t="s">
        <v>3</v>
      </c>
      <c r="C5" s="54"/>
      <c r="D5" s="54" t="s">
        <v>4</v>
      </c>
      <c r="E5" s="55"/>
    </row>
    <row r="6" spans="1:5" ht="19.5" thickBot="1" x14ac:dyDescent="0.45">
      <c r="A6" s="53"/>
      <c r="B6" s="25" t="s">
        <v>1</v>
      </c>
      <c r="C6" s="26" t="s">
        <v>2</v>
      </c>
      <c r="D6" s="26" t="s">
        <v>1</v>
      </c>
      <c r="E6" s="29" t="s">
        <v>2</v>
      </c>
    </row>
    <row r="7" spans="1:5" ht="19.5" thickTop="1" x14ac:dyDescent="0.4">
      <c r="A7" s="56" t="s">
        <v>94</v>
      </c>
      <c r="B7" s="24"/>
      <c r="C7" s="27"/>
      <c r="D7" s="27"/>
      <c r="E7" s="31"/>
    </row>
    <row r="8" spans="1:5" x14ac:dyDescent="0.4">
      <c r="A8" s="32" t="s">
        <v>7</v>
      </c>
      <c r="B8" s="15"/>
      <c r="C8" s="14"/>
      <c r="D8" s="15"/>
      <c r="E8" s="33"/>
    </row>
    <row r="9" spans="1:5" x14ac:dyDescent="0.4">
      <c r="A9" s="34"/>
      <c r="B9" s="17"/>
      <c r="C9" s="16"/>
      <c r="D9" s="16"/>
      <c r="E9" s="35"/>
    </row>
    <row r="10" spans="1:5" x14ac:dyDescent="0.4">
      <c r="A10" s="34"/>
      <c r="B10" s="17"/>
      <c r="C10" s="16"/>
      <c r="D10" s="16"/>
      <c r="E10" s="35"/>
    </row>
    <row r="11" spans="1:5" x14ac:dyDescent="0.4">
      <c r="A11" s="34"/>
      <c r="B11" s="17"/>
      <c r="C11" s="16"/>
      <c r="D11" s="16"/>
      <c r="E11" s="35"/>
    </row>
    <row r="12" spans="1:5" x14ac:dyDescent="0.4">
      <c r="A12" s="36"/>
      <c r="B12" s="19"/>
      <c r="C12" s="18"/>
      <c r="D12" s="18"/>
      <c r="E12" s="37"/>
    </row>
    <row r="13" spans="1:5" x14ac:dyDescent="0.4">
      <c r="A13" s="34" t="s">
        <v>8</v>
      </c>
      <c r="B13" s="17"/>
      <c r="C13" s="16"/>
      <c r="D13" s="17"/>
      <c r="E13" s="35"/>
    </row>
    <row r="14" spans="1:5" x14ac:dyDescent="0.4">
      <c r="A14" s="34"/>
      <c r="B14" s="17"/>
      <c r="C14" s="16"/>
      <c r="D14" s="17"/>
      <c r="E14" s="35"/>
    </row>
    <row r="15" spans="1:5" x14ac:dyDescent="0.4">
      <c r="A15" s="34"/>
      <c r="B15" s="17"/>
      <c r="C15" s="16"/>
      <c r="D15" s="17"/>
      <c r="E15" s="35"/>
    </row>
    <row r="16" spans="1:5" x14ac:dyDescent="0.4">
      <c r="A16" s="38" t="s">
        <v>9</v>
      </c>
      <c r="B16" s="21"/>
      <c r="C16" s="20"/>
      <c r="D16" s="21"/>
      <c r="E16" s="39"/>
    </row>
    <row r="17" spans="1:5" x14ac:dyDescent="0.4">
      <c r="A17" s="34" t="s">
        <v>11</v>
      </c>
      <c r="B17" s="17"/>
      <c r="C17" s="16"/>
      <c r="D17" s="17"/>
      <c r="E17" s="35"/>
    </row>
    <row r="18" spans="1:5" x14ac:dyDescent="0.4">
      <c r="A18" s="34"/>
      <c r="B18" s="17"/>
      <c r="C18" s="16"/>
      <c r="D18" s="17"/>
      <c r="E18" s="35"/>
    </row>
    <row r="19" spans="1:5" x14ac:dyDescent="0.4">
      <c r="A19" s="38" t="s">
        <v>12</v>
      </c>
      <c r="B19" s="21"/>
      <c r="C19" s="20"/>
      <c r="D19" s="21"/>
      <c r="E19" s="39"/>
    </row>
    <row r="20" spans="1:5" x14ac:dyDescent="0.4">
      <c r="A20" s="32" t="s">
        <v>15</v>
      </c>
      <c r="B20" s="15"/>
      <c r="C20" s="14"/>
      <c r="D20" s="15"/>
      <c r="E20" s="33"/>
    </row>
    <row r="21" spans="1:5" x14ac:dyDescent="0.4">
      <c r="A21" s="34"/>
      <c r="B21" s="17"/>
      <c r="C21" s="16"/>
      <c r="D21" s="16"/>
      <c r="E21" s="35"/>
    </row>
    <row r="22" spans="1:5" x14ac:dyDescent="0.4">
      <c r="A22" s="34"/>
      <c r="B22" s="17"/>
      <c r="C22" s="16"/>
      <c r="D22" s="16"/>
      <c r="E22" s="35"/>
    </row>
    <row r="23" spans="1:5" x14ac:dyDescent="0.4">
      <c r="A23" s="36"/>
      <c r="B23" s="19"/>
      <c r="C23" s="18"/>
      <c r="D23" s="18"/>
      <c r="E23" s="37"/>
    </row>
    <row r="24" spans="1:5" x14ac:dyDescent="0.4">
      <c r="A24" s="34" t="s">
        <v>17</v>
      </c>
      <c r="B24" s="17"/>
      <c r="C24" s="16"/>
      <c r="D24" s="17"/>
      <c r="E24" s="35"/>
    </row>
    <row r="25" spans="1:5" x14ac:dyDescent="0.4">
      <c r="A25" s="38" t="s">
        <v>19</v>
      </c>
      <c r="B25" s="21"/>
      <c r="C25" s="20"/>
      <c r="D25" s="21"/>
      <c r="E25" s="39"/>
    </row>
    <row r="26" spans="1:5" x14ac:dyDescent="0.4">
      <c r="A26" s="38" t="s">
        <v>9</v>
      </c>
      <c r="B26" s="21"/>
      <c r="C26" s="20"/>
      <c r="D26" s="20"/>
      <c r="E26" s="39"/>
    </row>
    <row r="27" spans="1:5" x14ac:dyDescent="0.4">
      <c r="A27" s="34" t="s">
        <v>20</v>
      </c>
      <c r="B27" s="17"/>
      <c r="C27" s="16"/>
      <c r="D27" s="17"/>
      <c r="E27" s="35"/>
    </row>
    <row r="28" spans="1:5" x14ac:dyDescent="0.4">
      <c r="A28" s="34"/>
      <c r="B28" s="17"/>
      <c r="C28" s="16"/>
      <c r="D28" s="16"/>
      <c r="E28" s="35"/>
    </row>
    <row r="29" spans="1:5" x14ac:dyDescent="0.4">
      <c r="A29" s="32" t="s">
        <v>22</v>
      </c>
      <c r="B29" s="15"/>
      <c r="C29" s="14"/>
      <c r="D29" s="15"/>
      <c r="E29" s="33"/>
    </row>
    <row r="30" spans="1:5" x14ac:dyDescent="0.4">
      <c r="A30" s="34"/>
      <c r="B30" s="17"/>
      <c r="C30" s="16"/>
      <c r="D30" s="16"/>
      <c r="E30" s="35"/>
    </row>
    <row r="31" spans="1:5" x14ac:dyDescent="0.4">
      <c r="A31" s="36"/>
      <c r="B31" s="19"/>
      <c r="C31" s="18"/>
      <c r="D31" s="18"/>
      <c r="E31" s="37"/>
    </row>
    <row r="32" spans="1:5" x14ac:dyDescent="0.4">
      <c r="A32" s="34" t="s">
        <v>48</v>
      </c>
      <c r="B32" s="17"/>
      <c r="C32" s="16"/>
      <c r="D32" s="17"/>
      <c r="E32" s="35"/>
    </row>
    <row r="33" spans="1:5" x14ac:dyDescent="0.4">
      <c r="A33" s="34"/>
      <c r="B33" s="17"/>
      <c r="C33" s="16"/>
      <c r="D33" s="16"/>
      <c r="E33" s="35"/>
    </row>
    <row r="34" spans="1:5" x14ac:dyDescent="0.4">
      <c r="A34" s="34"/>
      <c r="B34" s="17"/>
      <c r="C34" s="16"/>
      <c r="D34" s="16"/>
      <c r="E34" s="35"/>
    </row>
    <row r="35" spans="1:5" x14ac:dyDescent="0.4">
      <c r="A35" s="36"/>
      <c r="B35" s="19"/>
      <c r="C35" s="18"/>
      <c r="D35" s="18"/>
      <c r="E35" s="37"/>
    </row>
    <row r="36" spans="1:5" x14ac:dyDescent="0.4">
      <c r="A36" s="34" t="s">
        <v>61</v>
      </c>
      <c r="B36" s="17"/>
      <c r="C36" s="16"/>
      <c r="D36" s="17"/>
      <c r="E36" s="35"/>
    </row>
    <row r="37" spans="1:5" x14ac:dyDescent="0.4">
      <c r="A37" s="34" t="s">
        <v>62</v>
      </c>
      <c r="B37" s="17"/>
      <c r="C37" s="16"/>
      <c r="D37" s="17"/>
      <c r="E37" s="35"/>
    </row>
    <row r="38" spans="1:5" x14ac:dyDescent="0.4">
      <c r="A38" s="34"/>
      <c r="B38" s="17"/>
      <c r="C38" s="16"/>
      <c r="D38" s="17"/>
      <c r="E38" s="35"/>
    </row>
    <row r="39" spans="1:5" x14ac:dyDescent="0.4">
      <c r="A39" s="34"/>
      <c r="B39" s="17"/>
      <c r="C39" s="16"/>
      <c r="D39" s="17"/>
      <c r="E39" s="35"/>
    </row>
    <row r="40" spans="1:5" x14ac:dyDescent="0.4">
      <c r="A40" s="36"/>
      <c r="B40" s="19"/>
      <c r="C40" s="18"/>
      <c r="D40" s="19"/>
      <c r="E40" s="37"/>
    </row>
    <row r="41" spans="1:5" x14ac:dyDescent="0.4">
      <c r="A41" s="32" t="s">
        <v>63</v>
      </c>
      <c r="B41" s="15"/>
      <c r="C41" s="14"/>
      <c r="D41" s="15"/>
      <c r="E41" s="33"/>
    </row>
    <row r="42" spans="1:5" x14ac:dyDescent="0.4">
      <c r="A42" s="38" t="s">
        <v>72</v>
      </c>
      <c r="B42" s="21"/>
      <c r="C42" s="20"/>
      <c r="D42" s="21"/>
      <c r="E42" s="39"/>
    </row>
    <row r="43" spans="1:5" x14ac:dyDescent="0.4">
      <c r="A43" s="38" t="s">
        <v>73</v>
      </c>
      <c r="B43" s="21"/>
      <c r="C43" s="20"/>
      <c r="D43" s="21"/>
      <c r="E43" s="39"/>
    </row>
    <row r="44" spans="1:5" x14ac:dyDescent="0.4">
      <c r="A44" s="34" t="s">
        <v>95</v>
      </c>
      <c r="B44" s="23"/>
      <c r="C44" s="22"/>
      <c r="D44" s="23"/>
      <c r="E44" s="41"/>
    </row>
    <row r="45" spans="1:5" x14ac:dyDescent="0.4">
      <c r="A45" s="38" t="s">
        <v>96</v>
      </c>
      <c r="B45" s="12"/>
      <c r="C45" s="13"/>
      <c r="D45" s="12"/>
      <c r="E45" s="43"/>
    </row>
    <row r="46" spans="1:5" ht="19.5" thickBot="1" x14ac:dyDescent="0.45">
      <c r="A46" s="44" t="s">
        <v>27</v>
      </c>
      <c r="B46" s="45">
        <f>+B7+B44</f>
        <v>0</v>
      </c>
      <c r="C46" s="46"/>
      <c r="D46" s="45">
        <f>+D44+D45</f>
        <v>0</v>
      </c>
      <c r="E46" s="47"/>
    </row>
    <row r="47" spans="1:5" x14ac:dyDescent="0.4">
      <c r="A47" s="9"/>
      <c r="B47" s="7"/>
    </row>
    <row r="48" spans="1:5" hidden="1" x14ac:dyDescent="0.4">
      <c r="A48" s="9" t="s">
        <v>24</v>
      </c>
      <c r="B48" s="7"/>
    </row>
    <row r="49" spans="1:5" hidden="1" x14ac:dyDescent="0.4">
      <c r="A49" s="9"/>
      <c r="B49" s="7"/>
      <c r="C49" s="5" t="s">
        <v>91</v>
      </c>
      <c r="D49" s="5"/>
      <c r="E49" s="11" t="s">
        <v>23</v>
      </c>
    </row>
    <row r="50" spans="1:5" hidden="1" x14ac:dyDescent="0.4">
      <c r="A50" s="9"/>
      <c r="B50" s="7"/>
      <c r="C50" s="10" t="s">
        <v>92</v>
      </c>
      <c r="D50" s="10"/>
      <c r="E50" s="11" t="s">
        <v>23</v>
      </c>
    </row>
    <row r="51" spans="1:5" hidden="1" x14ac:dyDescent="0.4">
      <c r="A51" s="9"/>
      <c r="B51" s="7"/>
      <c r="C51" s="10" t="s">
        <v>93</v>
      </c>
      <c r="D51" s="10"/>
      <c r="E51" s="11" t="s">
        <v>23</v>
      </c>
    </row>
    <row r="52" spans="1:5" x14ac:dyDescent="0.4">
      <c r="C52" s="5" t="s">
        <v>100</v>
      </c>
      <c r="D52" s="5"/>
      <c r="E52" s="11" t="s">
        <v>23</v>
      </c>
    </row>
    <row r="53" spans="1:5" x14ac:dyDescent="0.4">
      <c r="C53" s="10" t="s">
        <v>101</v>
      </c>
      <c r="D53" s="10"/>
      <c r="E53" s="11" t="s">
        <v>23</v>
      </c>
    </row>
  </sheetData>
  <mergeCells count="6">
    <mergeCell ref="A1:E1"/>
    <mergeCell ref="D2:E2"/>
    <mergeCell ref="D3:E3"/>
    <mergeCell ref="A5:A6"/>
    <mergeCell ref="B5:C5"/>
    <mergeCell ref="D5:E5"/>
  </mergeCells>
  <phoneticPr fontId="2"/>
  <pageMargins left="1.299212598425197" right="0.70866141732283472" top="0.74803149606299213" bottom="0.7480314960629921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記入例_案</vt:lpstr>
      <vt:lpstr>記入例_実績</vt:lpstr>
      <vt:lpstr>案</vt:lpstr>
      <vt:lpstr>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yoshiyama</dc:creator>
  <cp:lastModifiedBy>前崎 修</cp:lastModifiedBy>
  <cp:lastPrinted>2021-02-20T05:46:59Z</cp:lastPrinted>
  <dcterms:created xsi:type="dcterms:W3CDTF">2018-12-14T06:51:58Z</dcterms:created>
  <dcterms:modified xsi:type="dcterms:W3CDTF">2026-08-06T06:46:06Z</dcterms:modified>
</cp:coreProperties>
</file>